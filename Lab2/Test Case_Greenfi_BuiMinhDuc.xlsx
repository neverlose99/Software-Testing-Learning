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List" sheetId="1" r:id="rId4"/>
    <sheet state="visible" name="UC01_Register" sheetId="2" r:id="rId5"/>
    <sheet state="visible" name="UC02_Login" sheetId="3" r:id="rId6"/>
    <sheet state="visible" name="UC03_KYC" sheetId="4" r:id="rId7"/>
  </sheets>
  <definedNames>
    <definedName localSheetId="2" name="ACTION">#REF!</definedName>
    <definedName localSheetId="3" name="ACTION">#REF!</definedName>
    <definedName name="ACTION">#REF!</definedName>
    <definedName name="_1._Log_in_as_a_Recruiter__Manager__Admin_user_2._Click_on__Offer__icon_on_the_left_menu_bar_3._Click_to__Export__button_in_the_Offer_List__4._Enter_invalid_date_formats_in__From__and__To__fields__e.g.__text__incorrect_date_format__5._Click__Submit__butto">#REF!</definedName>
    <definedName hidden="1" localSheetId="3" name="_xlnm._FilterDatabase">UC03_KYC!$A$8:$J$37</definedName>
  </definedNames>
  <calcPr/>
  <extLst>
    <ext uri="GoogleSheetsCustomDataVersion2">
      <go:sheetsCustomData xmlns:go="http://customooxmlschemas.google.com/" r:id="rId8" roundtripDataChecksum="ChzcKZFXZtgzpio8cTj0r1yQ3p7SpxSCHQ6noMowuP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======
ID#AAAB12hPMOI
    (2024-08-22 12:24:20)
Pass
Fail
Untested
N/A</t>
      </text>
    </comment>
  </commentList>
  <extLst>
    <ext uri="GoogleSheetsCustomDataVersion2">
      <go:sheetsCustomData xmlns:go="http://customooxmlschemas.google.com/" r:id="rId1" roundtripDataSignature="AMtx7mj7ivYm6ri+2G1P1vtMqK/acJj4f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======
ID#AAAB12hPMOM
    (2024-08-22 12:24:20)
Pass
Fail
Untested
N/A</t>
      </text>
    </comment>
  </commentList>
  <extLst>
    <ext uri="GoogleSheetsCustomDataVersion2">
      <go:sheetsCustomData xmlns:go="http://customooxmlschemas.google.com/" r:id="rId1" roundtripDataSignature="AMtx7mhbr3YatXQ0YzuTOyH+dpkA64Tai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======
ID#AAAB12hPMOE
    (2024-08-22 12:24:20)
Pass
Fail
Untested
N/A</t>
      </text>
    </comment>
  </commentList>
  <extLst>
    <ext uri="GoogleSheetsCustomDataVersion2">
      <go:sheetsCustomData xmlns:go="http://customooxmlschemas.google.com/" r:id="rId1" roundtripDataSignature="AMtx7mjmczO/Ti9H/VHaARCxlxhjCGwAig=="/>
    </ext>
  </extLst>
</comments>
</file>

<file path=xl/sharedStrings.xml><?xml version="1.0" encoding="utf-8"?>
<sst xmlns="http://schemas.openxmlformats.org/spreadsheetml/2006/main" count="534" uniqueCount="290">
  <si>
    <t>TEST CASE LIST</t>
  </si>
  <si>
    <t>B3</t>
  </si>
  <si>
    <t>Project Name</t>
  </si>
  <si>
    <t>A6</t>
  </si>
  <si>
    <t>Project Code</t>
  </si>
  <si>
    <t>GF_test_01</t>
  </si>
  <si>
    <t>B6</t>
  </si>
  <si>
    <t>Test Environment Setup Description</t>
  </si>
  <si>
    <t>&lt;List environment requires in this system
1. Server
2. Database
3. Web Browser
...
&gt;</t>
  </si>
  <si>
    <t>C6</t>
  </si>
  <si>
    <t>D6</t>
  </si>
  <si>
    <t>No</t>
  </si>
  <si>
    <t>Function Name</t>
  </si>
  <si>
    <t>Sheet Name</t>
  </si>
  <si>
    <t>Description</t>
  </si>
  <si>
    <t>Pre-Condition</t>
  </si>
  <si>
    <t>Passed</t>
  </si>
  <si>
    <t>Failed</t>
  </si>
  <si>
    <t>Untested</t>
  </si>
  <si>
    <t>Total</t>
  </si>
  <si>
    <t>UC01_Register</t>
  </si>
  <si>
    <t>Register</t>
  </si>
  <si>
    <t>UC02_Login</t>
  </si>
  <si>
    <t>Login</t>
  </si>
  <si>
    <t>UC03_KYC</t>
  </si>
  <si>
    <t>KYC</t>
  </si>
  <si>
    <t>Total TC</t>
  </si>
  <si>
    <t>Test coverage</t>
  </si>
  <si>
    <t>Test success coverage</t>
  </si>
  <si>
    <t>Function name</t>
  </si>
  <si>
    <t>UC01 - Register</t>
  </si>
  <si>
    <t>Low</t>
  </si>
  <si>
    <t>Test requirement</t>
  </si>
  <si>
    <t>Use case sử dụng này cho phép người dùng đăng ký vào hệ thống.</t>
  </si>
  <si>
    <t>Medium</t>
  </si>
  <si>
    <t>Tester</t>
  </si>
  <si>
    <t>High</t>
  </si>
  <si>
    <t>Number of Test cases</t>
  </si>
  <si>
    <t>N/A</t>
  </si>
  <si>
    <t>ID</t>
  </si>
  <si>
    <t>Test Case Title</t>
  </si>
  <si>
    <t>Test Case Description</t>
  </si>
  <si>
    <t>Expected Output</t>
  </si>
  <si>
    <t>Priority</t>
  </si>
  <si>
    <t>Result</t>
  </si>
  <si>
    <t>ID Bug</t>
  </si>
  <si>
    <t>Test Date</t>
  </si>
  <si>
    <t>Note</t>
  </si>
  <si>
    <t>User Interface</t>
  </si>
  <si>
    <t>Hiển thị đầy đủ form đăng ký</t>
  </si>
  <si>
    <t>Truy cập trang đăng ký</t>
  </si>
  <si>
    <t>1. Hiển thị field Họ tên, Email, Tên hiển thị
2. Hiển thị Mật khẩu &amp; Xác nhận
3. Hiển thị Mã giới thiệu
4. Hiển thị checkbox điều khoản
5. Hiển thị button "Tạo tài khoản"</t>
  </si>
  <si>
    <t>Placeholder đúng</t>
  </si>
  <si>
    <t>Quan sát các input</t>
  </si>
  <si>
    <t>1. Placeholder Họ tên đúng
2. Placeholder Email đúng
3. Placeholder Tên hiển thị đúng
4. Placeholder Mật khẩu đúng</t>
  </si>
  <si>
    <t>Toggle hiển thị mật khẩu</t>
  </si>
  <si>
    <t>Click icon mắt tại trường Mật khẩu</t>
  </si>
  <si>
    <t>1. Click lần 1 hiện mật khẩu dạng text
2. Click lại sẽ ẩn mật khẩu</t>
  </si>
  <si>
    <t>Button trạng thái</t>
  </si>
  <si>
    <t>1. Quan sát button "Tạo tài khoản" khi chưa nhập đủ
2. Nhập đủ và đúng format</t>
  </si>
  <si>
    <t>1. Button disable (mờ đi) khi form invalid
2. Button enable (sáng lên) khi form valid</t>
  </si>
  <si>
    <t>BUG 001</t>
  </si>
  <si>
    <t>Bùi Minh Đức</t>
  </si>
  <si>
    <t>Hiển thị lỗi màu đỏ</t>
  </si>
  <si>
    <t>Submit form rỗng hoặc sai format</t>
  </si>
  <si>
    <t>1. Hiển thị message lỗi dưới field
2. Màu chữ đỏ
3. Border input đổi màu đỏ</t>
  </si>
  <si>
    <t>Responsive UI</t>
  </si>
  <si>
    <t>Thu nhỏ trình duyệt về kích thước mobile</t>
  </si>
  <si>
    <t>1. Form co giãn tự nhiên
2. Không bị vỡ layout, mất chữ</t>
  </si>
  <si>
    <t>Function</t>
  </si>
  <si>
    <t>Validate họ tên rỗng</t>
  </si>
  <si>
    <t>1. Bỏ trống Họ tên
2. Nhập các trường khác hợp lệ
3. Submit</t>
  </si>
  <si>
    <t>1. Hiển thị lỗi "Không được bỏ trống"
2. Không submit form</t>
  </si>
  <si>
    <t>Validate email rỗng</t>
  </si>
  <si>
    <t>1. Bỏ trống Email
2. Submit</t>
  </si>
  <si>
    <t>1. Hiển thị lỗi bắt buộc nhập email
2. Không submit form</t>
  </si>
  <si>
    <t>Validate email sai format</t>
  </si>
  <si>
    <r>
      <rPr>
        <rFont val="Tahoma"/>
        <color theme="1"/>
        <sz val="10.0"/>
      </rPr>
      <t xml:space="preserve">1. Nhập abc@ hoặc </t>
    </r>
    <r>
      <rPr>
        <rFont val="Tahoma"/>
        <color rgb="FF1155CC"/>
        <sz val="10.0"/>
        <u/>
      </rPr>
      <t>abc.com</t>
    </r>
    <r>
      <rPr>
        <rFont val="Tahoma"/>
        <color theme="1"/>
        <sz val="10.0"/>
      </rPr>
      <t xml:space="preserve">
2. Submit</t>
    </r>
  </si>
  <si>
    <t>1. Hiển thị lỗi "Email không hợp lệ"
2. Không submit form</t>
  </si>
  <si>
    <t>Validate email đã tồn tại</t>
  </si>
  <si>
    <t>1. Nhập email đã có trong DB
2. Submit</t>
  </si>
  <si>
    <t>1. Hiển thị lỗi "Email này đã được sử dụng"
2. Không submit form</t>
  </si>
  <si>
    <t>Validate tên hiển thị &lt; n ký tự</t>
  </si>
  <si>
    <t>1. Nhập "ab" vào Tên hiển thị
2. Submit</t>
  </si>
  <si>
    <t>1. Hiển thị lỗi "Tên hiển thị phải &gt;= 3 ký tự"
2. Không cho tiếp tục</t>
  </si>
  <si>
    <t>Validate mật khẩu rỗng</t>
  </si>
  <si>
    <t>1. Để trống Mật khẩu
2. Submit</t>
  </si>
  <si>
    <t>1. Hiển thị lỗi bắt buộc nhập mật khẩu
2. Không submit form</t>
  </si>
  <si>
    <t>Validate mật khẩu không đủ mạnh</t>
  </si>
  <si>
    <t>Nhập 1234567</t>
  </si>
  <si>
    <t>1. Hiển thị lỗi "&gt;= 8 ký tự, có ít nhất 1 chữ hoa, 1 thường, 1 số, 1 ký tự đặc biệt"
2. Không submit</t>
  </si>
  <si>
    <t>Xác nhận mật khẩu rỗng</t>
  </si>
  <si>
    <t>1. Nhập mật khẩu
2. Bỏ trống xác nhận mật khẩu
3. Submit</t>
  </si>
  <si>
    <t>1. Hiển thị lỗi "Vui lòng xác nhận mật khẩu"
2. Không submit</t>
  </si>
  <si>
    <t>Xác nhận mật khẩu không khớp</t>
  </si>
  <si>
    <t>1. Nhập mật khẩu và mật khẩu xác nhận khác nhau
2. Submit</t>
  </si>
  <si>
    <t>1. Hiển thị lỗi "Mật khẩu không khớp"
2. Không submit</t>
  </si>
  <si>
    <t>Checkbox điều khoản</t>
  </si>
  <si>
    <t>1. Nhập đủ thông tin
2. Không tick checkbox điều khoản
3. Submit</t>
  </si>
  <si>
    <t>1. Không cho submit
2. Hiển thị cảnh báo yêu cầu đồng ý điều khoản</t>
  </si>
  <si>
    <t>Nhập mã OTP</t>
  </si>
  <si>
    <t>1. Nhập mã OTP đã gửi</t>
  </si>
  <si>
    <t>1. Nhập đúng định dạng mã OTP</t>
  </si>
  <si>
    <t>BUG 002</t>
  </si>
  <si>
    <t>Kiểm tra mã giới thiệu hợp lệ</t>
  </si>
  <si>
    <t>1. Nhập mã có trong DB
2. Click "Kiểm tra"</t>
  </si>
  <si>
    <t>1. Hiển thị trạng thái hợp lệ (màu xanh)
2. Hiển thị tên người giới thiệu</t>
  </si>
  <si>
    <t>Kiểm tra mã giới thiệu sai</t>
  </si>
  <si>
    <t>1. Nhập mã không tồn tại
2. Click "Kiểm tra"</t>
  </si>
  <si>
    <t>1. Hiển thị lỗi "Mã không hợp lệ"
2. Các field khác không bị ảnh hưởng</t>
  </si>
  <si>
    <t>Bảo mật - SQL Injection</t>
  </si>
  <si>
    <t>1. Nhập ' OR 1=1 -- vào Họ tên
2. Submit</t>
  </si>
  <si>
    <t>1. Hệ thống báo lỗi ký tự không hợp lệ hoặc sanitize chuỗi
2. Không bị lỗi DB</t>
  </si>
  <si>
    <t>Bảo mật - XSS (Cross Site Scripting)</t>
  </si>
  <si>
    <t>1. Nhập &lt;script&gt;alert(1)&lt;/script&gt; vào Tên hiển thị
2. Submit</t>
  </si>
  <si>
    <t>1. Hệ thống tự động mã hóa thẻ HTML (Entity Decoding)
2. Không thực thi script</t>
  </si>
  <si>
    <t>Submit hợp lệ</t>
  </si>
  <si>
    <t>1. Nhập đúng toàn bộ
2. Click Tạo tài khoản</t>
  </si>
  <si>
    <t>1. Gửi request thành công
2. Chuyển sang màn hình OTP
3. Hiển thị thông báo đã gửi email</t>
  </si>
  <si>
    <t>Permission</t>
  </si>
  <si>
    <t>Chưa xác thực OTP không đăng nhập</t>
  </si>
  <si>
    <t>1. Đăng ký thành công (đang ở màn OTP)
2. Mở tab mới, cố tình Login</t>
  </si>
  <si>
    <t>1. Không cho đăng nhập
2. Báo lỗi tài khoản chưa kích hoạt / Yêu cầu xác thực email</t>
  </si>
  <si>
    <t>Nhập OTP sai</t>
  </si>
  <si>
    <t>1. Nhập OTP không giống trong email
2. Submit OTP</t>
  </si>
  <si>
    <t>1. Hiển thị lỗi OTP sai
2. Không kích hoạt được tài khoản</t>
  </si>
  <si>
    <t>OTP sai nhiều lần</t>
  </si>
  <si>
    <t>1. Nhập sai OTP &gt; 5 lần</t>
  </si>
  <si>
    <t>1. Hiển thị lỗi báo nhập sai quá số lần
2. Tạm khóa tính năng nhập OTP trong 15/30 phút</t>
  </si>
  <si>
    <t>BUG 003</t>
  </si>
  <si>
    <t>OTP hết hạn</t>
  </si>
  <si>
    <t>1. Chờ hết thời gian hiệu lực của OTP (VD: 5 phút)
2. Nhập OTP cũ</t>
  </si>
  <si>
    <t>1. Hiển thị thông báo OTP đã hết hạn
2. Yêu cầu gửi lại mã</t>
  </si>
  <si>
    <t>Gửi lại OTP</t>
  </si>
  <si>
    <t>1. Click "Gửi lại mã OTP"</t>
  </si>
  <si>
    <t>1. Hệ thống gửi OTP mới về email thành công
2. OTP cũ bị vô hiệu hóa</t>
  </si>
  <si>
    <t>OTP đúng</t>
  </si>
  <si>
    <t>1. Nhập OTP đúng
2. Submit</t>
  </si>
  <si>
    <t>1. Xác thực thành công
2. Kích hoạt tài khoản
3. Cho phép đăng nhập / Tự động chuyển vào Dashboard</t>
  </si>
  <si>
    <t>Use case sử dụng này cho phép người dùng đăng nhập vào hệ thống.</t>
  </si>
  <si>
    <t>Hiển thị đầy đủ form đăng nhập</t>
  </si>
  <si>
    <t>1. Truy cập trang đăng nhập</t>
  </si>
  <si>
    <t>1. Hiển thị logo GreenFi
2. Hiển thị field Email, Mật khẩu
3. Hiển thị button "Log in"
4. Hiển thị link "Forgot password?", "Sign up now"</t>
  </si>
  <si>
    <t>1. Quan sát các input</t>
  </si>
  <si>
    <t>1. Placeholder Email là "Enter email"
2. Placeholder Mật khẩu là "Enter password"</t>
  </si>
  <si>
    <t>1. Click icon mắt tại trường Mật khẩu</t>
  </si>
  <si>
    <t>1. Click lần 1 hiện mật khẩu dạng text
2. Click lại ẩn mật khẩu thành dấu * hoặc •</t>
  </si>
  <si>
    <t>1. Quan sát button "Log in" khi chưa nhập liệu
2. Nhập email và mật khẩu</t>
  </si>
  <si>
    <t>1. Button disable (mờ) khi form invalid
2. Button enable (sáng) khi form valid</t>
  </si>
  <si>
    <t>1. Submit form bỏ trống hoặc sai</t>
  </si>
  <si>
    <t>1. Hiển thị message lỗi
2. Màu chữ đỏ
3. Border input đổi màu đỏ</t>
  </si>
  <si>
    <t>1. Thu nhỏ trình duyệt/Test trên Mobile</t>
  </si>
  <si>
    <t>Link điều hướng</t>
  </si>
  <si>
    <t>1. Click "Forgot password?"
2. Click "Sign up now"</t>
  </si>
  <si>
    <t>1. Chuyển sang trang Quên mật khẩu
2. Chuyển sang trang Đăng ký</t>
  </si>
  <si>
    <t>1. Để trống Email
2. Nhập Mật khẩu
3. Submit</t>
  </si>
  <si>
    <t>1. Hiển thị lỗi "Vui lòng nhập email"
2. Không submit form</t>
  </si>
  <si>
    <t xml:space="preserve">   </t>
  </si>
  <si>
    <t>1. Nhập email sai định dạng (VD: abc@)
2. Submit</t>
  </si>
  <si>
    <t>1. Nhập Email
2. Để trống Mật khẩu
3. Submit</t>
  </si>
  <si>
    <t>1. Hiển thị lỗi "Vui lòng nhập mật khẩu"
2. Không submit form</t>
  </si>
  <si>
    <t>Đăng nhập sai Email</t>
  </si>
  <si>
    <t>1. Nhập Email không tồn tại trong hệ thống
2. Nhập Mật khẩu
3. Submit</t>
  </si>
  <si>
    <t>1. Hiển thị lỗi (VD: "Email hoặc mật khẩu không đúng")
2. Không cho phép đăng nhập</t>
  </si>
  <si>
    <t>Đăng nhập sai Mật khẩu</t>
  </si>
  <si>
    <t>1. Nhập Email đúng
2. Nhập sai Mật khẩu
3. Submit</t>
  </si>
  <si>
    <t>Đăng nhập tài khoản chưa xác thực</t>
  </si>
  <si>
    <t>1. Nhập đúng Email và Mật khẩu của tài khoản chưa xác thực OTP
2. Submit</t>
  </si>
  <si>
    <t>1. Báo lỗi tài khoản chưa kích hoạt
2. Chuyển hướng sang màn hình nhập OTP xác thực email</t>
  </si>
  <si>
    <t>Đăng nhập tài khoản bị khóa</t>
  </si>
  <si>
    <t>1. Nhập Email và Mật khẩu của user đã bị Admin vô hiệu hóa/ban
2. Submit</t>
  </si>
  <si>
    <t>1. Hiển thị cảnh báo "Tài khoản của bạn đã bị khóa"
2. Không cho phép đăng nhập</t>
  </si>
  <si>
    <t>Submit bằng Enter</t>
  </si>
  <si>
    <t>1. Nhập đủ và đúng dữ liệu
2. Nhấn phím Enter trên bàn phím</t>
  </si>
  <si>
    <t>1. Thực hiện lệnh submit form
2. Login thành công</t>
  </si>
  <si>
    <t>Brute-force: Sai mật khẩu nhiều lần</t>
  </si>
  <si>
    <t>1. Nhập sai mật khẩu liên tiếp &gt; 5 lần</t>
  </si>
  <si>
    <t>1. Báo lỗi nhập sai quá số lần
2. Tạm khóa tính năng đăng nhập trong 15/30 phút hoặc hiển thị CAPTCHA</t>
  </si>
  <si>
    <t>BUG 004</t>
  </si>
  <si>
    <t>Bảo mật - SQL Injection (Email)</t>
  </si>
  <si>
    <t>1. Nhập ' OR 1=1 -- vào Email
2. Nhập Password bất kỳ
3. Submit</t>
  </si>
  <si>
    <t>1. Báo lỗi sai định dạng Email
2. Không truy cập được hệ thống</t>
  </si>
  <si>
    <t>Bảo mật - SQL Injection (Password)</t>
  </si>
  <si>
    <t>1. Nhập Email đúng
2. Nhập ' OR '1'='1 vào Password
3. Submit</t>
  </si>
  <si>
    <t>1. Báo lỗi mật khẩu sai
2. Không bypass được đăng nhập</t>
  </si>
  <si>
    <t>1. Nhập Email đúng
2. Nhập Password đúng
3. Click Log in</t>
  </si>
  <si>
    <t>1. Gửi request thành công
2. Khởi tạo phiên đăng nhập (Session/Token)
3. Chuyển hướng sang trang Dashboard</t>
  </si>
  <si>
    <t>Phân quyền mặc định sau Login</t>
  </si>
  <si>
    <t>1. Đăng nhập thành công bằng tài khoản User thường
2. Quan sát menu</t>
  </si>
  <si>
    <t>1. Hiển thị các tính năng của User
2. Không hiển thị các menu quản trị (Admin)</t>
  </si>
  <si>
    <t>Truy cập trang Admin bằng User thường</t>
  </si>
  <si>
    <t>1. Đăng nhập bằng User thường
2. Cố tình gõ URL /admin/dashboard</t>
  </si>
  <si>
    <t>1. Hiển thị trang lỗi 403 Forbidden
2. Hoặc bị chuyển hướng về Dashboard của User</t>
  </si>
  <si>
    <t>Truy cập Login khi đã đăng nhập</t>
  </si>
  <si>
    <t>1. Đăng nhập thành công
2. Cố tình gõ URL /dang-nhap</t>
  </si>
  <si>
    <t>1. Hệ thống tự động chuyển hướng lại Dashboard
2. Không hiển thị lại form đăng nhập</t>
  </si>
  <si>
    <t>Truy cập tính năng khi chưa đăng nhập</t>
  </si>
  <si>
    <t>1. Mở trình duyệt Ẩn danh (Chưa login)
2. Gõ URL /dashboard</t>
  </si>
  <si>
    <t>1. Bị chặn quyền truy cập
2. Hệ thống chuyển hướng về trang Đăng nhập</t>
  </si>
  <si>
    <t>Timeout Session (Hết hạn phiên)</t>
  </si>
  <si>
    <t>1. Đăng nhập thành công
2. Để không thao tác trên trang &gt; 30 phút
3. F5 hoặc click link bất kỳ</t>
  </si>
  <si>
    <t>1. Phiên đăng nhập hết hạn
2. Tự động đăng xuất và chuyển về trang Login</t>
  </si>
  <si>
    <t xml:space="preserve">BUG 005
</t>
  </si>
  <si>
    <t>Đăng xuất thành công</t>
  </si>
  <si>
    <t>1. Đăng nhập thành công
2. Click nút "Log out"</t>
  </si>
  <si>
    <t>1. Xóa toàn bộ Session/Token
2. Chuyển hướng về trang Đăng nhập</t>
  </si>
  <si>
    <t>Nút Back sau khi Đăng xuất</t>
  </si>
  <si>
    <t>1. Click Đăng xuất thành công
2. Nhấn nút Back trên trình duyệt</t>
  </si>
  <si>
    <t>1. Không vào lại được Dashboard cũ
2. Yêu cầu đăng nhập lại (nếu trang load lại)</t>
  </si>
  <si>
    <t>Use case sử dụng này cho phép người dùng xác thực danh tính</t>
  </si>
  <si>
    <t>Hiển thị màn chọn loại tài khoản</t>
  </si>
  <si>
    <t>1. Truy cập màn KYC</t>
  </si>
  <si>
    <t>1. The popup contains the exact text: "Are you sure you want to delete this candidate?"
- The text is clearly visible and readable
- The text is properly formatted and aligned within the popup</t>
  </si>
  <si>
    <t>Hiển thị form thông tin cá nhân</t>
  </si>
  <si>
    <t>1, Chọn "Cá nhân"</t>
  </si>
  <si>
    <t>1. Hiển thị các field: Họ tên, Email, Ngày sinh, Địa chỉ, SĐT, CCCD, Giới tính
2. Hiển thị section tài khoản ngân hàng</t>
  </si>
  <si>
    <t>Required field đánh dấu *</t>
  </si>
  <si>
    <t>1. Quan sát form</t>
  </si>
  <si>
    <t>1. Các field bắt buộc có dấu *
2. Phân biệt rõ với field optional</t>
  </si>
  <si>
    <t>Date picker ngày sinh</t>
  </si>
  <si>
    <t>1. Click chọn ngày sinh</t>
  </si>
  <si>
    <t>1. Hiển thị date picker
2. Chọn được ngày hợp lệ</t>
  </si>
  <si>
    <t>Dropdown giới tính</t>
  </si>
  <si>
    <t>1. Click dropdown</t>
  </si>
  <si>
    <t>1. Hiển thị danh sách lựa chọn
2. Chọn được giá trị</t>
  </si>
  <si>
    <t>Upload ảnh CCCD &amp; selfie</t>
  </si>
  <si>
    <t>1. Truy cập màn upload ảnh</t>
  </si>
  <si>
    <t>1. Hiển thị 3 vùng upload: 
2. Có nút "Thay đổi ảnh"</t>
  </si>
  <si>
    <t>Hiển thị preview ảnh</t>
  </si>
  <si>
    <t>1. Upload ảnh</t>
  </si>
  <si>
    <t>1. Hiển thị preview ảnh đã upload
2. Ẩn placeholder ban đầu</t>
  </si>
  <si>
    <t>Hiển thị màn review KYC</t>
  </si>
  <si>
    <t>1. Upload đủ ảnh -&gt; tiếp tục</t>
  </si>
  <si>
    <t>1. Hiển thị thông tin đã nhập
2. Hiển thị 3 ảnh đã upload
3. Có nút "Chỉnh sửa" &amp; "Gửi hồ sơ"</t>
  </si>
  <si>
    <t>Validate field rỗng</t>
  </si>
  <si>
    <t>1. Để trống field bắt buộc
2. Click tiếp tục</t>
  </si>
  <si>
    <t>1. Hiển thị lỗi từng field
2. Không cho tiếp tục</t>
  </si>
  <si>
    <t>Validate email</t>
  </si>
  <si>
    <t>1. Nhập email sai format</t>
  </si>
  <si>
    <t>1. Hiển thị lỗi email không hợp lệ
2. Không cho tiếp tục</t>
  </si>
  <si>
    <t>Validate số điện thoại</t>
  </si>
  <si>
    <t>1. Nhập ký tự chữ vào SĐT</t>
  </si>
  <si>
    <t>Validate CCCD</t>
  </si>
  <si>
    <t>1. Nhập sai định dạng/độ dài CCCD</t>
  </si>
  <si>
    <t>1. Hiển thị lỗi định dạng CCCD
2. Không cho tiếp tục</t>
  </si>
  <si>
    <t>Validate ngày sinh</t>
  </si>
  <si>
    <t>1. Chọn ngày tương lai</t>
  </si>
  <si>
    <t>1. Hiển thị lỗi không hợp lệ
2. Không cho tiếp tục</t>
  </si>
  <si>
    <t>Submit form hợp lệ</t>
  </si>
  <si>
    <t>1. Nhập đầy đủ đúng</t>
  </si>
  <si>
    <t>1. Chuyển sang màn upload ảnh
2. Lưu dữ liệu tạm thời thành công</t>
  </si>
  <si>
    <t>Upload ảnh thành công</t>
  </si>
  <si>
    <t xml:space="preserve">1. Upload từng ảnh	</t>
  </si>
  <si>
    <t>1. Upload thành công
2. Hiển thị preview</t>
  </si>
  <si>
    <t>Replace ảnh</t>
  </si>
  <si>
    <t>1. Upload ảnh
2. Click "Thay đổi ảnh"</t>
  </si>
  <si>
    <t>1. Ảnh cũ bị thay thế
2. Hiển thị ảnh mới</t>
  </si>
  <si>
    <t>Upload sai định dạng file</t>
  </si>
  <si>
    <t>1. Upload file PDF, DOCX...</t>
  </si>
  <si>
    <t>1. Báo lỗi "Định dạng không hỗ trợ"
2. Không cho upload</t>
  </si>
  <si>
    <t>Upload ảnh quá dung lượng</t>
  </si>
  <si>
    <t>1. Upload file ảnh &gt; 5MB</t>
  </si>
  <si>
    <t>1. Báo lỗi vượt quá dung lượng cho phép
2. Không cho upload</t>
  </si>
  <si>
    <t>Submit hồ sơ KYC</t>
  </si>
  <si>
    <t>1. Tại màn review click "Gửi hồ sơ"</t>
  </si>
  <si>
    <t>1. Gửi request thành công
2. Hiển thị trạng thái chờ duyệt</t>
  </si>
  <si>
    <t>Chỉnh sửa thông tin</t>
  </si>
  <si>
    <t>1. Click "Chỉnh sửa" tại màn Review</t>
  </si>
  <si>
    <t>1. Quay lại form nhập liệu
2. Giữ nguyên dữ liệu đã nhập trước đó</t>
  </si>
  <si>
    <t>Bảo mật - SQL Injection/XSS</t>
  </si>
  <si>
    <t>1. Nhập payload XSS/SQLi vào Địa chỉ</t>
  </si>
  <si>
    <t>1. Validate và mã hóa chuỗi đầu vào
2. Không thực thi script lạ</t>
  </si>
  <si>
    <t>Chưa KYC không dùng full chức năng</t>
  </si>
  <si>
    <t>1. Không KYC
2. Truy cập tính năng Đầu tư</t>
  </si>
  <si>
    <t>1. Bị hạn chế chức năng
2. Yêu cầu KYC</t>
  </si>
  <si>
    <t>KYC thành công</t>
  </si>
  <si>
    <t>1. Admin duyệt hồ sơ hợp lệ</t>
  </si>
  <si>
    <t>1. Trạng thái KYC = Approved
2. Mở full quyền hệ thống</t>
  </si>
  <si>
    <t>KYC bị từ chối</t>
  </si>
  <si>
    <t>1. Admin từ chối hồ sơ sai</t>
  </si>
  <si>
    <t>1. Trạng thái = Rejected
2. Cho phép chỉnh sửa và gửi lại</t>
  </si>
  <si>
    <t>Không bypass upload ảnh</t>
  </si>
  <si>
    <t>1. Không upload đủ ảnh
2. Cố tình Submit form ẩn</t>
  </si>
  <si>
    <t>1. Không cho submit ở Backend
2. Bắt buộc đủ 3 ảnh</t>
  </si>
  <si>
    <t>Bảo mật IDOR</t>
  </si>
  <si>
    <t>1. Sửa tham số user_id trên URL để xem KYC người khác</t>
  </si>
  <si>
    <t>1. Trả về lỗi 403 Forbidden
2. Chỉ xem được KYC của chính mình</t>
  </si>
  <si>
    <t>Session hết hạn</t>
  </si>
  <si>
    <t>1. Để lâu không thao tác</t>
  </si>
  <si>
    <t>1. Session expire
2. Bắt buộc đăng nhập lại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</si>
</sst>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6">
    <font>
      <sz val="11.0"/>
      <color rgb="FF000000"/>
      <name val="MS PGothic"/>
      <scheme val="minor"/>
    </font>
    <font>
      <sz val="10.0"/>
      <color theme="1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b/>
      <sz val="10.0"/>
      <color rgb="FF993300"/>
      <name val="Tahoma"/>
    </font>
    <font/>
    <font>
      <i/>
      <sz val="10.0"/>
      <color rgb="FF008000"/>
      <name val="Tahoma"/>
    </font>
    <font>
      <b/>
      <sz val="10.0"/>
      <color theme="1"/>
      <name val="Tahoma"/>
    </font>
    <font>
      <b/>
      <sz val="10.0"/>
      <color rgb="FFFFFFFF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sz val="10.0"/>
      <color rgb="FF000000"/>
      <name val="Tahoma"/>
    </font>
    <font>
      <sz val="10.0"/>
      <color rgb="FFFF0000"/>
      <name val="Tahoma"/>
    </font>
    <font>
      <u/>
      <sz val="10.0"/>
      <color theme="1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33399"/>
        <bgColor rgb="FF333399"/>
      </patternFill>
    </fill>
    <fill>
      <patternFill patternType="solid">
        <fgColor rgb="FF000080"/>
        <bgColor rgb="FF000080"/>
      </patternFill>
    </fill>
    <fill>
      <patternFill patternType="solid">
        <fgColor rgb="FFCCFFFF"/>
        <bgColor rgb="FFCCFFFF"/>
      </patternFill>
    </fill>
  </fills>
  <borders count="42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  <top/>
      <bottom style="medium">
        <color rgb="FF000000"/>
      </bottom>
    </border>
    <border>
      <left style="hair">
        <color rgb="FF000000"/>
      </left>
      <right style="hair">
        <color rgb="FF000000"/>
      </right>
      <top/>
      <bottom style="medium">
        <color rgb="FF000000"/>
      </bottom>
    </border>
    <border>
      <left style="hair">
        <color rgb="FF000000"/>
      </left>
      <right/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" xfId="0" applyAlignment="1" applyBorder="1" applyFont="1" applyNumberFormat="1">
      <alignment horizontal="center"/>
    </xf>
    <xf borderId="1" fillId="2" fontId="1" numFmtId="0" xfId="0" applyAlignment="1" applyBorder="1" applyFont="1">
      <alignment horizontal="left"/>
    </xf>
    <xf borderId="1" fillId="2" fontId="2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2" fillId="2" fontId="4" numFmtId="1" xfId="0" applyBorder="1" applyFont="1" applyNumberFormat="1"/>
    <xf borderId="3" fillId="0" fontId="5" numFmtId="0" xfId="0" applyBorder="1" applyFont="1"/>
    <xf borderId="2" fillId="2" fontId="6" numFmtId="0" xfId="0" applyAlignment="1" applyBorder="1" applyFont="1">
      <alignment horizontal="left" readingOrder="0"/>
    </xf>
    <xf borderId="4" fillId="0" fontId="5" numFmtId="0" xfId="0" applyBorder="1" applyFont="1"/>
    <xf borderId="1" fillId="2" fontId="1" numFmtId="0" xfId="0" applyAlignment="1" applyBorder="1" applyFont="1">
      <alignment shrinkToFit="0" wrapText="1"/>
    </xf>
    <xf borderId="2" fillId="2" fontId="4" numFmtId="1" xfId="0" applyAlignment="1" applyBorder="1" applyFont="1" applyNumberFormat="1">
      <alignment shrinkToFit="0" vertical="center" wrapText="1"/>
    </xf>
    <xf borderId="2" fillId="2" fontId="6" numFmtId="0" xfId="0" applyAlignment="1" applyBorder="1" applyFont="1">
      <alignment shrinkToFit="0" vertical="top" wrapText="1"/>
    </xf>
    <xf borderId="1" fillId="2" fontId="4" numFmtId="1" xfId="0" applyAlignment="1" applyBorder="1" applyFont="1" applyNumberFormat="1">
      <alignment horizontal="center"/>
    </xf>
    <xf borderId="1" fillId="2" fontId="1" numFmtId="0" xfId="0" applyAlignment="1" applyBorder="1" applyFont="1">
      <alignment vertical="center"/>
    </xf>
    <xf borderId="1" fillId="2" fontId="1" numFmtId="1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center"/>
    </xf>
    <xf borderId="5" fillId="3" fontId="8" numFmtId="1" xfId="0" applyAlignment="1" applyBorder="1" applyFill="1" applyFont="1" applyNumberFormat="1">
      <alignment horizontal="center" vertical="center"/>
    </xf>
    <xf borderId="5" fillId="3" fontId="8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  <xf borderId="5" fillId="2" fontId="1" numFmtId="1" xfId="0" applyAlignment="1" applyBorder="1" applyFont="1" applyNumberFormat="1">
      <alignment horizontal="center" vertical="center"/>
    </xf>
    <xf borderId="5" fillId="2" fontId="7" numFmtId="0" xfId="0" applyAlignment="1" applyBorder="1" applyFont="1">
      <alignment horizontal="left" readingOrder="0" vertical="center"/>
    </xf>
    <xf borderId="5" fillId="2" fontId="9" numFmtId="0" xfId="0" applyAlignment="1" applyBorder="1" applyFont="1">
      <alignment horizontal="left" vertical="center"/>
    </xf>
    <xf borderId="5" fillId="0" fontId="1" numFmtId="0" xfId="0" applyAlignment="1" applyBorder="1" applyFont="1">
      <alignment shrinkToFit="0" vertical="top" wrapText="1"/>
    </xf>
    <xf borderId="5" fillId="2" fontId="1" numFmtId="0" xfId="0" applyAlignment="1" applyBorder="1" applyFont="1">
      <alignment horizontal="left" vertical="center"/>
    </xf>
    <xf borderId="5" fillId="2" fontId="1" numFmtId="0" xfId="0" applyAlignment="1" applyBorder="1" applyFont="1">
      <alignment horizontal="center" vertical="center"/>
    </xf>
    <xf borderId="0" fillId="0" fontId="1" numFmtId="0" xfId="0" applyFont="1"/>
    <xf borderId="0" fillId="2" fontId="1" numFmtId="1" xfId="0" applyAlignment="1" applyFont="1" applyNumberFormat="1">
      <alignment horizontal="center" readingOrder="0" vertical="center"/>
    </xf>
    <xf borderId="0" fillId="2" fontId="7" numFmtId="0" xfId="0" applyAlignment="1" applyFont="1">
      <alignment horizontal="left" vertical="center"/>
    </xf>
    <xf borderId="0" fillId="2" fontId="10" numFmtId="0" xfId="0" applyAlignment="1" applyFont="1">
      <alignment horizontal="left" vertical="center"/>
    </xf>
    <xf borderId="0" fillId="0" fontId="1" numFmtId="0" xfId="0" applyAlignment="1" applyFont="1">
      <alignment shrinkToFit="0" vertical="top" wrapText="1"/>
    </xf>
    <xf borderId="0" fillId="2" fontId="1" numFmtId="0" xfId="0" applyAlignment="1" applyFont="1">
      <alignment horizontal="left" vertical="center"/>
    </xf>
    <xf borderId="0" fillId="2" fontId="1" numFmtId="0" xfId="0" applyAlignment="1" applyFont="1">
      <alignment horizontal="center" vertical="center"/>
    </xf>
    <xf borderId="6" fillId="2" fontId="1" numFmtId="1" xfId="0" applyAlignment="1" applyBorder="1" applyFont="1" applyNumberFormat="1">
      <alignment horizontal="center" vertical="center"/>
    </xf>
    <xf borderId="7" fillId="2" fontId="1" numFmtId="49" xfId="0" applyAlignment="1" applyBorder="1" applyFont="1" applyNumberFormat="1">
      <alignment horizontal="left" vertical="center"/>
    </xf>
    <xf borderId="7" fillId="2" fontId="11" numFmtId="0" xfId="0" applyAlignment="1" applyBorder="1" applyFont="1">
      <alignment horizontal="left" vertical="center"/>
    </xf>
    <xf borderId="8" fillId="2" fontId="1" numFmtId="0" xfId="0" applyAlignment="1" applyBorder="1" applyFont="1">
      <alignment horizontal="left" vertical="center"/>
    </xf>
    <xf borderId="9" fillId="2" fontId="7" numFmtId="0" xfId="0" applyAlignment="1" applyBorder="1" applyFont="1">
      <alignment horizontal="center" vertical="center"/>
    </xf>
    <xf borderId="10" fillId="2" fontId="7" numFmtId="0" xfId="0" applyAlignment="1" applyBorder="1" applyFont="1">
      <alignment horizontal="center" vertical="center"/>
    </xf>
    <xf borderId="11" fillId="2" fontId="7" numFmtId="0" xfId="0" applyAlignment="1" applyBorder="1" applyFont="1">
      <alignment horizontal="center" vertical="center"/>
    </xf>
    <xf borderId="1" fillId="2" fontId="1" numFmtId="49" xfId="0" applyAlignment="1" applyBorder="1" applyFont="1" applyNumberFormat="1">
      <alignment horizontal="left" vertical="center"/>
    </xf>
    <xf borderId="1" fillId="2" fontId="12" numFmtId="0" xfId="0" applyAlignment="1" applyBorder="1" applyFont="1">
      <alignment horizontal="left" vertical="center"/>
    </xf>
    <xf borderId="5" fillId="2" fontId="7" numFmtId="0" xfId="0" applyAlignment="1" applyBorder="1" applyFont="1">
      <alignment horizontal="left" vertical="center"/>
    </xf>
    <xf borderId="5" fillId="2" fontId="1" numFmtId="9" xfId="0" applyAlignment="1" applyBorder="1" applyFont="1" applyNumberFormat="1">
      <alignment horizontal="center" vertical="center"/>
    </xf>
    <xf borderId="10" fillId="2" fontId="13" numFmtId="0" xfId="0" applyBorder="1" applyFont="1"/>
    <xf borderId="1" fillId="2" fontId="13" numFmtId="0" xfId="0" applyAlignment="1" applyBorder="1" applyFont="1">
      <alignment horizontal="left" shrinkToFit="0" vertical="top" wrapText="1"/>
    </xf>
    <xf borderId="1" fillId="2" fontId="13" numFmtId="0" xfId="0" applyAlignment="1" applyBorder="1" applyFont="1">
      <alignment shrinkToFit="0" wrapText="1"/>
    </xf>
    <xf borderId="1" fillId="2" fontId="7" numFmtId="0" xfId="0" applyAlignment="1" applyBorder="1" applyFont="1">
      <alignment shrinkToFit="0" wrapText="1"/>
    </xf>
    <xf borderId="1" fillId="2" fontId="14" numFmtId="0" xfId="0" applyAlignment="1" applyBorder="1" applyFont="1">
      <alignment shrinkToFit="0" wrapText="1"/>
    </xf>
    <xf borderId="1" fillId="2" fontId="13" numFmtId="0" xfId="0" applyBorder="1" applyFont="1"/>
    <xf borderId="12" fillId="2" fontId="7" numFmtId="0" xfId="0" applyAlignment="1" applyBorder="1" applyFont="1">
      <alignment horizontal="left" shrinkToFit="0" wrapText="1"/>
    </xf>
    <xf borderId="13" fillId="2" fontId="6" numFmtId="0" xfId="0" applyAlignment="1" applyBorder="1" applyFont="1">
      <alignment horizontal="left" readingOrder="0" shrinkToFit="0" vertical="top" wrapText="1"/>
    </xf>
    <xf borderId="14" fillId="0" fontId="5" numFmtId="0" xfId="0" applyBorder="1" applyFont="1"/>
    <xf borderId="15" fillId="0" fontId="5" numFmtId="0" xfId="0" applyBorder="1" applyFont="1"/>
    <xf borderId="1" fillId="2" fontId="6" numFmtId="0" xfId="0" applyAlignment="1" applyBorder="1" applyFont="1">
      <alignment horizontal="left" shrinkToFit="0" vertical="top" wrapText="1"/>
    </xf>
    <xf borderId="1" fillId="2" fontId="6" numFmtId="0" xfId="0" applyAlignment="1" applyBorder="1" applyFont="1">
      <alignment shrinkToFit="0" wrapText="1"/>
    </xf>
    <xf borderId="16" fillId="2" fontId="6" numFmtId="0" xfId="0" applyAlignment="1" applyBorder="1" applyFont="1">
      <alignment horizontal="left" readingOrder="0" shrinkToFit="0" vertical="top" wrapText="1"/>
    </xf>
    <xf borderId="17" fillId="0" fontId="5" numFmtId="0" xfId="0" applyBorder="1" applyFont="1"/>
    <xf borderId="18" fillId="0" fontId="5" numFmtId="0" xfId="0" applyBorder="1" applyFont="1"/>
    <xf borderId="19" fillId="2" fontId="7" numFmtId="0" xfId="0" applyAlignment="1" applyBorder="1" applyFont="1">
      <alignment horizontal="left" shrinkToFit="0" wrapText="1"/>
    </xf>
    <xf borderId="20" fillId="2" fontId="6" numFmtId="0" xfId="0" applyAlignment="1" applyBorder="1" applyFont="1">
      <alignment horizontal="left" shrinkToFit="0" wrapText="1"/>
    </xf>
    <xf borderId="21" fillId="0" fontId="5" numFmtId="0" xfId="0" applyBorder="1" applyFont="1"/>
    <xf borderId="22" fillId="0" fontId="5" numFmtId="0" xfId="0" applyBorder="1" applyFont="1"/>
    <xf borderId="1" fillId="2" fontId="6" numFmtId="0" xfId="0" applyAlignment="1" applyBorder="1" applyFont="1">
      <alignment horizontal="left" shrinkToFit="0" wrapText="1"/>
    </xf>
    <xf borderId="23" fillId="2" fontId="2" numFmtId="0" xfId="0" applyAlignment="1" applyBorder="1" applyFont="1">
      <alignment horizontal="center" vertical="center"/>
    </xf>
    <xf borderId="23" fillId="2" fontId="2" numFmtId="0" xfId="0" applyAlignment="1" applyBorder="1" applyFont="1">
      <alignment horizontal="left" shrinkToFit="0" vertical="top" wrapText="1"/>
    </xf>
    <xf borderId="24" fillId="2" fontId="2" numFmtId="0" xfId="0" applyAlignment="1" applyBorder="1" applyFont="1">
      <alignment horizontal="center" shrinkToFit="0" vertical="center" wrapText="1"/>
    </xf>
    <xf borderId="25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shrinkToFit="0" vertical="center" wrapText="1"/>
    </xf>
    <xf borderId="26" fillId="2" fontId="2" numFmtId="0" xfId="0" applyAlignment="1" applyBorder="1" applyFont="1">
      <alignment horizontal="center" shrinkToFit="0" vertical="center" wrapText="1"/>
    </xf>
    <xf borderId="27" fillId="0" fontId="5" numFmtId="0" xfId="0" applyBorder="1" applyFont="1"/>
    <xf borderId="1" fillId="2" fontId="14" numFmtId="0" xfId="0" applyAlignment="1" applyBorder="1" applyFont="1">
      <alignment horizontal="center" shrinkToFit="0" wrapText="1"/>
    </xf>
    <xf borderId="28" fillId="2" fontId="13" numFmtId="0" xfId="0" applyAlignment="1" applyBorder="1" applyFont="1">
      <alignment horizontal="center" vertical="center"/>
    </xf>
    <xf borderId="28" fillId="2" fontId="13" numFmtId="0" xfId="0" applyAlignment="1" applyBorder="1" applyFont="1">
      <alignment horizontal="left" vertical="top"/>
    </xf>
    <xf borderId="29" fillId="2" fontId="13" numFmtId="0" xfId="0" applyAlignment="1" applyBorder="1" applyFont="1">
      <alignment horizontal="center" vertical="center"/>
    </xf>
    <xf borderId="1" fillId="2" fontId="13" numFmtId="0" xfId="0" applyAlignment="1" applyBorder="1" applyFont="1">
      <alignment horizontal="center" vertical="center"/>
    </xf>
    <xf borderId="1" fillId="2" fontId="13" numFmtId="0" xfId="0" applyAlignment="1" applyBorder="1" applyFont="1">
      <alignment vertical="center"/>
    </xf>
    <xf borderId="26" fillId="2" fontId="13" numFmtId="0" xfId="0" applyAlignment="1" applyBorder="1" applyFont="1">
      <alignment horizontal="center" shrinkToFit="0" vertical="center" wrapText="1"/>
    </xf>
    <xf borderId="1" fillId="2" fontId="13" numFmtId="0" xfId="0" applyAlignment="1" applyBorder="1" applyFont="1">
      <alignment horizontal="left" vertical="top"/>
    </xf>
    <xf borderId="1" fillId="2" fontId="13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  <xf borderId="5" fillId="4" fontId="8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5" fillId="5" fontId="7" numFmtId="0" xfId="0" applyAlignment="1" applyBorder="1" applyFill="1" applyFont="1">
      <alignment horizontal="left" shrinkToFit="0" vertical="center" wrapText="1"/>
    </xf>
    <xf borderId="5" fillId="5" fontId="7" numFmtId="0" xfId="0" applyAlignment="1" applyBorder="1" applyFont="1">
      <alignment horizontal="left" shrinkToFit="0" vertical="top" wrapText="1"/>
    </xf>
    <xf borderId="1" fillId="2" fontId="3" numFmtId="0" xfId="0" applyAlignment="1" applyBorder="1" applyFont="1">
      <alignment horizontal="left" vertical="center"/>
    </xf>
    <xf borderId="5" fillId="2" fontId="1" numFmtId="0" xfId="0" applyAlignment="1" applyBorder="1" applyFont="1">
      <alignment shrinkToFit="0" vertical="top" wrapText="1"/>
    </xf>
    <xf borderId="5" fillId="2" fontId="1" numFmtId="0" xfId="0" applyAlignment="1" applyBorder="1" applyFont="1">
      <alignment horizontal="left" readingOrder="0" shrinkToFit="0" vertical="top" wrapText="1"/>
    </xf>
    <xf borderId="5" fillId="2" fontId="1" numFmtId="0" xfId="0" applyAlignment="1" applyBorder="1" applyFont="1">
      <alignment readingOrder="0" shrinkToFit="0" vertical="top" wrapText="1"/>
    </xf>
    <xf borderId="5" fillId="2" fontId="13" numFmtId="0" xfId="0" applyAlignment="1" applyBorder="1" applyFont="1">
      <alignment horizontal="left" readingOrder="0" shrinkToFit="0" vertical="top" wrapText="1"/>
    </xf>
    <xf borderId="5" fillId="2" fontId="13" numFmtId="0" xfId="0" applyAlignment="1" applyBorder="1" applyFont="1">
      <alignment horizontal="center" readingOrder="0" shrinkToFit="0" vertical="top" wrapText="1"/>
    </xf>
    <xf borderId="5" fillId="0" fontId="1" numFmtId="0" xfId="0" applyAlignment="1" applyBorder="1" applyFont="1">
      <alignment horizontal="center" readingOrder="0" shrinkToFit="0" vertical="top" wrapText="1"/>
    </xf>
    <xf borderId="1" fillId="2" fontId="14" numFmtId="0" xfId="0" applyAlignment="1" applyBorder="1" applyFont="1">
      <alignment vertical="top"/>
    </xf>
    <xf borderId="1" fillId="2" fontId="14" numFmtId="0" xfId="0" applyAlignment="1" applyBorder="1" applyFont="1">
      <alignment shrinkToFit="0" vertical="top" wrapText="1"/>
    </xf>
    <xf borderId="5" fillId="0" fontId="1" numFmtId="0" xfId="0" applyAlignment="1" applyBorder="1" applyFont="1">
      <alignment horizontal="left" readingOrder="0" shrinkToFit="0" vertical="top" wrapText="1"/>
    </xf>
    <xf borderId="5" fillId="2" fontId="1" numFmtId="164" xfId="0" applyAlignment="1" applyBorder="1" applyFont="1" applyNumberFormat="1">
      <alignment readingOrder="0" shrinkToFit="0" vertical="top" wrapText="1"/>
    </xf>
    <xf borderId="5" fillId="5" fontId="7" numFmtId="0" xfId="0" applyAlignment="1" applyBorder="1" applyFont="1">
      <alignment horizontal="center" shrinkToFit="0" vertical="top" wrapText="1"/>
    </xf>
    <xf borderId="5" fillId="2" fontId="13" numFmtId="0" xfId="0" applyAlignment="1" applyBorder="1" applyFont="1">
      <alignment horizontal="center" shrinkToFit="0" vertical="top" wrapText="1"/>
    </xf>
    <xf borderId="1" fillId="2" fontId="14" numFmtId="0" xfId="0" applyBorder="1" applyFont="1"/>
    <xf borderId="5" fillId="2" fontId="1" numFmtId="0" xfId="0" applyAlignment="1" applyBorder="1" applyFont="1">
      <alignment horizontal="left" readingOrder="0" shrinkToFit="0" vertical="top" wrapText="1"/>
    </xf>
    <xf borderId="5" fillId="2" fontId="15" numFmtId="0" xfId="0" applyAlignment="1" applyBorder="1" applyFont="1">
      <alignment readingOrder="0" shrinkToFit="0" vertical="top" wrapText="1"/>
    </xf>
    <xf borderId="30" fillId="2" fontId="14" numFmtId="0" xfId="0" applyAlignment="1" applyBorder="1" applyFont="1">
      <alignment shrinkToFit="0" vertical="top" wrapText="1"/>
    </xf>
    <xf borderId="30" fillId="2" fontId="1" numFmtId="0" xfId="0" applyBorder="1" applyFont="1"/>
    <xf borderId="31" fillId="2" fontId="14" numFmtId="0" xfId="0" applyAlignment="1" applyBorder="1" applyFont="1">
      <alignment shrinkToFit="0" vertical="top" wrapText="1"/>
    </xf>
    <xf borderId="31" fillId="2" fontId="1" numFmtId="0" xfId="0" applyBorder="1" applyFont="1"/>
    <xf borderId="5" fillId="2" fontId="1" numFmtId="0" xfId="0" applyAlignment="1" applyBorder="1" applyFont="1">
      <alignment horizontal="left" readingOrder="0" vertical="top"/>
    </xf>
    <xf borderId="5" fillId="2" fontId="1" numFmtId="0" xfId="0" applyBorder="1" applyFont="1"/>
    <xf borderId="5" fillId="2" fontId="14" numFmtId="0" xfId="0" applyBorder="1" applyFont="1"/>
    <xf borderId="32" fillId="2" fontId="1" numFmtId="0" xfId="0" applyBorder="1" applyFont="1"/>
    <xf borderId="32" fillId="2" fontId="1" numFmtId="0" xfId="0" applyAlignment="1" applyBorder="1" applyFont="1">
      <alignment horizontal="left" vertical="top"/>
    </xf>
    <xf borderId="32" fillId="2" fontId="14" numFmtId="0" xfId="0" applyBorder="1" applyFont="1"/>
    <xf borderId="1" fillId="2" fontId="1" numFmtId="0" xfId="0" applyAlignment="1" applyBorder="1" applyFont="1">
      <alignment horizontal="left" vertical="top"/>
    </xf>
    <xf borderId="1" fillId="2" fontId="6" numFmtId="0" xfId="0" applyAlignment="1" applyBorder="1" applyFont="1">
      <alignment horizontal="center" shrinkToFit="0" vertical="top" wrapText="1"/>
    </xf>
    <xf borderId="1" fillId="2" fontId="6" numFmtId="0" xfId="0" applyAlignment="1" applyBorder="1" applyFont="1">
      <alignment horizontal="center" shrinkToFit="0" wrapText="1"/>
    </xf>
    <xf borderId="5" fillId="4" fontId="8" numFmtId="0" xfId="0" applyAlignment="1" applyBorder="1" applyFont="1">
      <alignment horizontal="left" shrinkToFit="0" vertical="top" wrapText="1"/>
    </xf>
    <xf borderId="5" fillId="5" fontId="7" numFmtId="0" xfId="0" applyAlignment="1" applyBorder="1" applyFont="1">
      <alignment horizontal="left" vertical="center"/>
    </xf>
    <xf borderId="5" fillId="5" fontId="7" numFmtId="0" xfId="0" applyAlignment="1" applyBorder="1" applyFont="1">
      <alignment horizontal="left" vertical="top"/>
    </xf>
    <xf borderId="5" fillId="5" fontId="7" numFmtId="0" xfId="0" applyAlignment="1" applyBorder="1" applyFont="1">
      <alignment horizontal="center" vertical="center"/>
    </xf>
    <xf borderId="1" fillId="2" fontId="13" numFmtId="0" xfId="0" applyAlignment="1" applyBorder="1" applyFont="1">
      <alignment vertical="top"/>
    </xf>
    <xf borderId="0" fillId="0" fontId="14" numFmtId="0" xfId="0" applyAlignment="1" applyFont="1">
      <alignment shrinkToFit="0" vertical="top" wrapText="1"/>
    </xf>
    <xf borderId="5" fillId="2" fontId="1" numFmtId="0" xfId="0" applyAlignment="1" applyBorder="1" applyFont="1">
      <alignment horizontal="center" readingOrder="0" shrinkToFit="0" vertical="top" wrapText="1"/>
    </xf>
    <xf borderId="31" fillId="2" fontId="1" numFmtId="0" xfId="0" applyAlignment="1" applyBorder="1" applyFont="1">
      <alignment readingOrder="0"/>
    </xf>
    <xf borderId="31" fillId="2" fontId="1" numFmtId="164" xfId="0" applyAlignment="1" applyBorder="1" applyFont="1" applyNumberFormat="1">
      <alignment readingOrder="0"/>
    </xf>
    <xf borderId="30" fillId="2" fontId="14" numFmtId="0" xfId="0" applyBorder="1" applyFont="1"/>
    <xf borderId="31" fillId="2" fontId="14" numFmtId="0" xfId="0" applyBorder="1" applyFont="1"/>
    <xf borderId="5" fillId="2" fontId="1" numFmtId="0" xfId="0" applyAlignment="1" applyBorder="1" applyFont="1">
      <alignment readingOrder="0"/>
    </xf>
    <xf borderId="1" fillId="2" fontId="1" numFmtId="0" xfId="0" applyAlignment="1" applyBorder="1" applyFont="1">
      <alignment horizontal="center"/>
    </xf>
    <xf borderId="28" fillId="2" fontId="13" numFmtId="0" xfId="0" applyAlignment="1" applyBorder="1" applyFont="1">
      <alignment horizontal="left" shrinkToFit="0" vertical="top" wrapText="1"/>
    </xf>
    <xf borderId="33" fillId="4" fontId="8" numFmtId="0" xfId="0" applyAlignment="1" applyBorder="1" applyFont="1">
      <alignment horizontal="center" shrinkToFit="0" vertical="center" wrapText="1"/>
    </xf>
    <xf borderId="34" fillId="4" fontId="8" numFmtId="0" xfId="0" applyAlignment="1" applyBorder="1" applyFont="1">
      <alignment horizontal="center" shrinkToFit="0" vertical="center" wrapText="1"/>
    </xf>
    <xf borderId="35" fillId="4" fontId="8" numFmtId="0" xfId="0" applyAlignment="1" applyBorder="1" applyFont="1">
      <alignment horizontal="center" shrinkToFit="0" vertical="center" wrapText="1"/>
    </xf>
    <xf borderId="36" fillId="4" fontId="8" numFmtId="0" xfId="0" applyAlignment="1" applyBorder="1" applyFont="1">
      <alignment horizontal="center" shrinkToFit="0" vertical="center" wrapText="1"/>
    </xf>
    <xf borderId="33" fillId="5" fontId="7" numFmtId="0" xfId="0" applyAlignment="1" applyBorder="1" applyFont="1">
      <alignment horizontal="left" vertical="top"/>
    </xf>
    <xf borderId="37" fillId="5" fontId="7" numFmtId="0" xfId="0" applyAlignment="1" applyBorder="1" applyFont="1">
      <alignment horizontal="left" shrinkToFit="0" vertical="top" wrapText="1"/>
    </xf>
    <xf borderId="38" fillId="5" fontId="7" numFmtId="0" xfId="0" applyAlignment="1" applyBorder="1" applyFont="1">
      <alignment horizontal="left" vertical="top"/>
    </xf>
    <xf borderId="38" fillId="5" fontId="7" numFmtId="0" xfId="0" applyAlignment="1" applyBorder="1" applyFont="1">
      <alignment horizontal="center" vertical="top"/>
    </xf>
    <xf borderId="34" fillId="5" fontId="7" numFmtId="0" xfId="0" applyAlignment="1" applyBorder="1" applyFont="1">
      <alignment horizontal="left" vertical="top"/>
    </xf>
    <xf borderId="33" fillId="2" fontId="1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readingOrder="0" shrinkToFit="0" vertical="top" wrapText="1"/>
    </xf>
    <xf borderId="5" fillId="2" fontId="13" numFmtId="0" xfId="0" applyAlignment="1" applyBorder="1" applyFont="1">
      <alignment shrinkToFit="0" vertical="top" wrapText="1"/>
    </xf>
    <xf borderId="5" fillId="0" fontId="1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4" fillId="2" fontId="1" numFmtId="0" xfId="0" applyAlignment="1" applyBorder="1" applyFont="1">
      <alignment horizontal="left" shrinkToFit="0" vertical="top" wrapText="1"/>
    </xf>
    <xf borderId="5" fillId="2" fontId="1" numFmtId="0" xfId="0" applyAlignment="1" applyBorder="1" applyFont="1">
      <alignment horizontal="left" shrinkToFit="0" vertical="top" wrapText="1"/>
    </xf>
    <xf borderId="37" fillId="2" fontId="1" numFmtId="0" xfId="0" applyAlignment="1" applyBorder="1" applyFont="1">
      <alignment horizontal="left" shrinkToFit="0" vertical="top" wrapText="1"/>
    </xf>
    <xf borderId="5" fillId="5" fontId="7" numFmtId="0" xfId="0" applyAlignment="1" applyBorder="1" applyFont="1">
      <alignment horizontal="center" vertical="top"/>
    </xf>
    <xf borderId="36" fillId="2" fontId="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39" fillId="0" fontId="1" numFmtId="0" xfId="0" applyAlignment="1" applyBorder="1" applyFont="1">
      <alignment horizontal="left" readingOrder="0" shrinkToFit="0" vertical="top" wrapText="1"/>
    </xf>
    <xf borderId="40" fillId="0" fontId="1" numFmtId="0" xfId="0" applyAlignment="1" applyBorder="1" applyFont="1">
      <alignment horizontal="left" readingOrder="0" shrinkToFit="0" vertical="top" wrapText="1"/>
    </xf>
    <xf borderId="41" fillId="2" fontId="13" numFmtId="0" xfId="0" applyAlignment="1" applyBorder="1" applyFont="1">
      <alignment horizontal="center" readingOrder="0" shrinkToFit="0" vertical="top" wrapText="1"/>
    </xf>
    <xf borderId="39" fillId="2" fontId="1" numFmtId="0" xfId="0" applyAlignment="1" applyBorder="1" applyFont="1">
      <alignment horizontal="left" shrinkToFit="0" vertical="top" wrapText="1"/>
    </xf>
    <xf borderId="41" fillId="2" fontId="1" numFmtId="0" xfId="0" applyAlignment="1" applyBorder="1" applyFont="1">
      <alignment horizontal="left" shrinkToFit="0" vertical="top" wrapText="1"/>
    </xf>
    <xf borderId="32" fillId="2" fontId="1" numFmtId="0" xfId="0" applyAlignment="1" applyBorder="1" applyFont="1">
      <alignment horizontal="left" shrinkToFit="0" vertical="top" wrapText="1"/>
    </xf>
    <xf borderId="32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1038225</xdr:colOff>
      <xdr:row>0</xdr:row>
      <xdr:rowOff>200025</xdr:rowOff>
    </xdr:from>
    <xdr:ext cx="228600" cy="314325"/>
    <xdr:sp>
      <xdr:nvSpPr>
        <xdr:cNvPr id="3" name="Shape 3"/>
        <xdr:cNvSpPr txBox="1"/>
      </xdr:nvSpPr>
      <xdr:spPr>
        <a:xfrm>
          <a:off x="5236463" y="3627600"/>
          <a:ext cx="21907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abc.com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63"/>
    <col customWidth="1" min="2" max="2" width="11.63"/>
    <col customWidth="1" min="3" max="3" width="27.38"/>
    <col customWidth="1" min="4" max="4" width="32.38"/>
    <col customWidth="1" min="5" max="5" width="58.5"/>
    <col customWidth="1" min="6" max="6" width="22.38"/>
    <col customWidth="1" min="7" max="8" width="9.0"/>
    <col customWidth="1" min="9" max="9" width="10.0"/>
    <col customWidth="1" min="10" max="26" width="9.0"/>
  </cols>
  <sheetData>
    <row r="1" ht="12.75" customHeight="1">
      <c r="A1" s="1"/>
      <c r="B1" s="2"/>
      <c r="C1" s="3"/>
      <c r="D1" s="4" t="s">
        <v>0</v>
      </c>
      <c r="E1" s="4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2"/>
      <c r="C2" s="3"/>
      <c r="D2" s="5"/>
      <c r="E2" s="5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 t="s">
        <v>1</v>
      </c>
      <c r="B3" s="6" t="s">
        <v>2</v>
      </c>
      <c r="C3" s="7"/>
      <c r="D3" s="8"/>
      <c r="E3" s="7"/>
      <c r="F3" s="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 t="s">
        <v>3</v>
      </c>
      <c r="B4" s="6" t="s">
        <v>4</v>
      </c>
      <c r="C4" s="7"/>
      <c r="D4" s="8" t="s">
        <v>5</v>
      </c>
      <c r="E4" s="7"/>
      <c r="F4" s="9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84.75" customHeight="1">
      <c r="A5" s="10" t="s">
        <v>6</v>
      </c>
      <c r="B5" s="11" t="s">
        <v>7</v>
      </c>
      <c r="C5" s="9"/>
      <c r="D5" s="12" t="s">
        <v>8</v>
      </c>
      <c r="E5" s="7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75" customHeight="1">
      <c r="A6" s="1" t="s">
        <v>9</v>
      </c>
      <c r="B6" s="1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4" t="s">
        <v>10</v>
      </c>
      <c r="B7" s="15"/>
      <c r="C7" s="16"/>
      <c r="D7" s="16"/>
      <c r="E7" s="16"/>
      <c r="F7" s="16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21.0" customHeight="1">
      <c r="A8" s="17"/>
      <c r="B8" s="18" t="s">
        <v>11</v>
      </c>
      <c r="C8" s="19" t="s">
        <v>12</v>
      </c>
      <c r="D8" s="19" t="s">
        <v>13</v>
      </c>
      <c r="E8" s="19" t="s">
        <v>14</v>
      </c>
      <c r="F8" s="19" t="s">
        <v>15</v>
      </c>
      <c r="G8" s="19" t="s">
        <v>16</v>
      </c>
      <c r="H8" s="19" t="s">
        <v>17</v>
      </c>
      <c r="I8" s="19" t="s">
        <v>18</v>
      </c>
      <c r="J8" s="19" t="s">
        <v>19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2.75" customHeight="1">
      <c r="A9" s="20" t="s">
        <v>20</v>
      </c>
      <c r="B9" s="21">
        <v>1.0</v>
      </c>
      <c r="C9" s="22" t="s">
        <v>21</v>
      </c>
      <c r="D9" s="23" t="str">
        <f>HYPERLINK("#'UC01_Register'!A1", "UC01_Register")</f>
        <v>UC01_Register</v>
      </c>
      <c r="E9" s="24" t="str">
        <f t="array" ref="E9">INDIRECT("'"&amp;A9&amp;"'!"&amp;A$3)</f>
        <v>Use case sử dụng này cho phép người dùng đăng ký vào hệ thống.</v>
      </c>
      <c r="F9" s="25"/>
      <c r="G9" s="26">
        <f t="array" ref="G9">INDIRECT("'"&amp;A9&amp;"'!"&amp;A$4)</f>
        <v>21</v>
      </c>
      <c r="H9" s="26">
        <f t="array" ref="H9">INDIRECT("'"&amp;A9&amp;"'!"&amp;A$5)</f>
        <v>4</v>
      </c>
      <c r="I9" s="26">
        <f t="array" ref="I9">INDIRECT("'"&amp;A9&amp;"'!"&amp;A$6)</f>
        <v>3</v>
      </c>
      <c r="J9" s="26">
        <f t="shared" ref="J9:J11" si="1">SUM(G9:I9)</f>
        <v>28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20" t="s">
        <v>22</v>
      </c>
      <c r="B10" s="21">
        <v>2.0</v>
      </c>
      <c r="C10" s="22" t="s">
        <v>23</v>
      </c>
      <c r="D10" s="23" t="str">
        <f>HYPERLINK("#'UC02_Login'!A1", "UC02_Login")</f>
        <v>UC02_Login</v>
      </c>
      <c r="E10" s="24" t="str">
        <f t="array" ref="E10">INDIRECT("'"&amp;A10&amp;"'!"&amp;A$3)</f>
        <v>Use case sử dụng này cho phép người dùng đăng nhập vào hệ thống.</v>
      </c>
      <c r="F10" s="25"/>
      <c r="G10" s="26">
        <f t="array" ref="G10">INDIRECT("'"&amp;A10&amp;"'!"&amp;A$4)</f>
        <v>23</v>
      </c>
      <c r="H10" s="26">
        <f t="array" ref="H10">INDIRECT("'"&amp;A10&amp;"'!"&amp;A$5)</f>
        <v>2</v>
      </c>
      <c r="I10" s="26">
        <f t="array" ref="I10">INDIRECT("'"&amp;A10&amp;"'!"&amp;A$6)</f>
        <v>1</v>
      </c>
      <c r="J10" s="26">
        <f t="shared" si="1"/>
        <v>26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0" t="s">
        <v>24</v>
      </c>
      <c r="B11" s="21">
        <v>3.0</v>
      </c>
      <c r="C11" s="22" t="s">
        <v>25</v>
      </c>
      <c r="D11" s="23" t="str">
        <f>HYPERLINK("#'"&amp;A11&amp;"'!A1",A11)</f>
        <v>UC03_KYC</v>
      </c>
      <c r="E11" s="24" t="str">
        <f t="array" ref="E11">INDIRECT("'"&amp;A11&amp;"'!"&amp;A$3)</f>
        <v>Use case sử dụng này cho phép người dùng xác thực danh tính</v>
      </c>
      <c r="F11" s="25"/>
      <c r="G11" s="26">
        <f t="array" ref="G11">INDIRECT("'"&amp;A11&amp;"'!"&amp;A$4)</f>
        <v>19</v>
      </c>
      <c r="H11" s="26">
        <f t="array" ref="H11">INDIRECT("'"&amp;A11&amp;"'!"&amp;A$5)</f>
        <v>1</v>
      </c>
      <c r="I11" s="26">
        <f t="array" ref="I11">INDIRECT("'"&amp;A11&amp;"'!"&amp;A$6)</f>
        <v>7</v>
      </c>
      <c r="J11" s="26">
        <f t="shared" si="1"/>
        <v>27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27"/>
      <c r="B12" s="28">
        <v>4.0</v>
      </c>
      <c r="C12" s="29"/>
      <c r="D12" s="30"/>
      <c r="E12" s="31"/>
      <c r="F12" s="32"/>
      <c r="G12" s="33"/>
      <c r="H12" s="33"/>
      <c r="I12" s="33"/>
      <c r="J12" s="3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27"/>
      <c r="B13" s="28">
        <v>5.0</v>
      </c>
      <c r="C13" s="29"/>
      <c r="D13" s="30"/>
      <c r="E13" s="31"/>
      <c r="F13" s="32"/>
      <c r="G13" s="33"/>
      <c r="H13" s="33"/>
      <c r="I13" s="33"/>
      <c r="J13" s="3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34"/>
      <c r="C14" s="35"/>
      <c r="D14" s="36"/>
      <c r="E14" s="37"/>
      <c r="F14" s="38" t="s">
        <v>26</v>
      </c>
      <c r="G14" s="39">
        <f t="shared" ref="G14:I14" si="2">SUM(G9:G11)</f>
        <v>63</v>
      </c>
      <c r="H14" s="39">
        <f t="shared" si="2"/>
        <v>7</v>
      </c>
      <c r="I14" s="39">
        <f t="shared" si="2"/>
        <v>11</v>
      </c>
      <c r="J14" s="40">
        <f>SUM(G14:I14)</f>
        <v>81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5"/>
      <c r="C15" s="41"/>
      <c r="D15" s="42"/>
      <c r="E15" s="16"/>
      <c r="F15" s="16"/>
      <c r="G15" s="16"/>
      <c r="H15" s="16"/>
      <c r="I15" s="1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5"/>
      <c r="C16" s="41"/>
      <c r="D16" s="42"/>
      <c r="E16" s="16"/>
      <c r="F16" s="43" t="s">
        <v>27</v>
      </c>
      <c r="G16" s="44">
        <f>(J14-I14)/J14</f>
        <v>0.8641975309</v>
      </c>
      <c r="H16" s="16"/>
      <c r="I16" s="1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5"/>
      <c r="C17" s="41"/>
      <c r="D17" s="42"/>
      <c r="E17" s="16"/>
      <c r="F17" s="43" t="s">
        <v>28</v>
      </c>
      <c r="G17" s="44">
        <f>IFERROR(G14/(J14-I14), 0)</f>
        <v>0.9</v>
      </c>
      <c r="H17" s="16"/>
      <c r="I17" s="1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5"/>
      <c r="C18" s="41"/>
      <c r="D18" s="42"/>
      <c r="E18" s="16"/>
      <c r="F18" s="16"/>
      <c r="G18" s="16"/>
      <c r="H18" s="16"/>
      <c r="I18" s="1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5"/>
      <c r="C19" s="41"/>
      <c r="D19" s="42"/>
      <c r="E19" s="16"/>
      <c r="F19" s="16"/>
      <c r="G19" s="16"/>
      <c r="H19" s="16"/>
      <c r="I19" s="1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5"/>
      <c r="C20" s="41"/>
      <c r="D20" s="42"/>
      <c r="E20" s="16"/>
      <c r="F20" s="16"/>
      <c r="G20" s="16"/>
      <c r="H20" s="16"/>
      <c r="I20" s="1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5"/>
      <c r="C21" s="41"/>
      <c r="D21" s="42"/>
      <c r="E21" s="16"/>
      <c r="F21" s="16"/>
      <c r="G21" s="16"/>
      <c r="H21" s="16"/>
      <c r="I21" s="1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5"/>
      <c r="C22" s="41"/>
      <c r="D22" s="42"/>
      <c r="E22" s="16"/>
      <c r="F22" s="16"/>
      <c r="G22" s="16"/>
      <c r="H22" s="16"/>
      <c r="I22" s="1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5"/>
      <c r="C23" s="41"/>
      <c r="D23" s="42"/>
      <c r="E23" s="16"/>
      <c r="F23" s="16"/>
      <c r="G23" s="16"/>
      <c r="H23" s="16"/>
      <c r="I23" s="1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5"/>
      <c r="C24" s="41"/>
      <c r="D24" s="42"/>
      <c r="E24" s="16"/>
      <c r="F24" s="16"/>
      <c r="G24" s="16"/>
      <c r="H24" s="16"/>
      <c r="I24" s="1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5"/>
      <c r="C25" s="41"/>
      <c r="D25" s="42"/>
      <c r="E25" s="16"/>
      <c r="F25" s="16"/>
      <c r="G25" s="16"/>
      <c r="H25" s="16"/>
      <c r="I25" s="1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5"/>
      <c r="C26" s="41"/>
      <c r="D26" s="42"/>
      <c r="E26" s="16"/>
      <c r="F26" s="16"/>
      <c r="G26" s="16"/>
      <c r="H26" s="16"/>
      <c r="I26" s="1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5"/>
      <c r="C27" s="41"/>
      <c r="D27" s="42"/>
      <c r="E27" s="16"/>
      <c r="F27" s="16"/>
      <c r="G27" s="16"/>
      <c r="H27" s="16"/>
      <c r="I27" s="1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"/>
      <c r="C28" s="3"/>
      <c r="D28" s="3"/>
      <c r="E28" s="3"/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"/>
      <c r="C29" s="3"/>
      <c r="D29" s="3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"/>
      <c r="C30" s="3"/>
      <c r="D30" s="3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"/>
      <c r="C31" s="3"/>
      <c r="D31" s="3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/>
      <c r="C32" s="3"/>
      <c r="D32" s="3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/>
      <c r="C33" s="3"/>
      <c r="D33" s="3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/>
      <c r="C34" s="3"/>
      <c r="D34" s="3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3"/>
      <c r="D35" s="3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3"/>
      <c r="D36" s="3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3"/>
      <c r="D37" s="3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3"/>
      <c r="D38" s="3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3"/>
      <c r="D39" s="3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3"/>
      <c r="D40" s="3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3"/>
      <c r="D41" s="3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3"/>
      <c r="D42" s="3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3"/>
      <c r="D43" s="3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3"/>
      <c r="D44" s="3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3"/>
      <c r="D45" s="3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3"/>
      <c r="D46" s="3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3"/>
      <c r="D47" s="3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3"/>
      <c r="D48" s="3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3"/>
      <c r="D49" s="3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3"/>
      <c r="D50" s="3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3"/>
      <c r="D51" s="3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3"/>
      <c r="D52" s="3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3"/>
      <c r="D53" s="3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3"/>
      <c r="D54" s="3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3"/>
      <c r="D55" s="3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3"/>
      <c r="D56" s="3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3"/>
      <c r="D57" s="3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3"/>
      <c r="D58" s="3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3"/>
      <c r="D59" s="3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3"/>
      <c r="D60" s="3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3"/>
      <c r="D61" s="3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3"/>
      <c r="D62" s="3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3"/>
      <c r="D63" s="3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3"/>
      <c r="D64" s="3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3"/>
      <c r="D65" s="3"/>
      <c r="E65" s="3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3"/>
      <c r="D66" s="3"/>
      <c r="E66" s="3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3"/>
      <c r="D67" s="3"/>
      <c r="E67" s="3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3"/>
      <c r="D68" s="3"/>
      <c r="E68" s="3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3"/>
      <c r="D69" s="3"/>
      <c r="E69" s="3"/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3"/>
      <c r="D70" s="3"/>
      <c r="E70" s="3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3"/>
      <c r="D71" s="3"/>
      <c r="E71" s="3"/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3"/>
      <c r="D72" s="3"/>
      <c r="E72" s="3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3"/>
      <c r="D73" s="3"/>
      <c r="E73" s="3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3"/>
      <c r="D74" s="3"/>
      <c r="E74" s="3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3"/>
      <c r="D75" s="3"/>
      <c r="E75" s="3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3"/>
      <c r="D76" s="3"/>
      <c r="E76" s="3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3"/>
      <c r="D77" s="3"/>
      <c r="E77" s="3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3"/>
      <c r="D78" s="3"/>
      <c r="E78" s="3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3"/>
      <c r="D79" s="3"/>
      <c r="E79" s="3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3"/>
      <c r="D80" s="3"/>
      <c r="E80" s="3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3"/>
      <c r="D81" s="3"/>
      <c r="E81" s="3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3"/>
      <c r="D82" s="3"/>
      <c r="E82" s="3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3"/>
      <c r="D83" s="3"/>
      <c r="E83" s="3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3"/>
      <c r="D84" s="3"/>
      <c r="E84" s="3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3"/>
      <c r="D85" s="3"/>
      <c r="E85" s="3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3"/>
      <c r="D86" s="3"/>
      <c r="E86" s="3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3"/>
      <c r="D87" s="3"/>
      <c r="E87" s="3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3"/>
      <c r="D88" s="3"/>
      <c r="E88" s="3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3"/>
      <c r="D89" s="3"/>
      <c r="E89" s="3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3"/>
      <c r="D90" s="3"/>
      <c r="E90" s="3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3"/>
      <c r="D91" s="3"/>
      <c r="E91" s="3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3"/>
      <c r="D92" s="3"/>
      <c r="E92" s="3"/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3"/>
      <c r="D93" s="3"/>
      <c r="E93" s="3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3"/>
      <c r="D94" s="3"/>
      <c r="E94" s="3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3"/>
      <c r="D95" s="3"/>
      <c r="E95" s="3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3"/>
      <c r="D96" s="3"/>
      <c r="E96" s="3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3"/>
      <c r="D97" s="3"/>
      <c r="E97" s="3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3"/>
      <c r="D98" s="3"/>
      <c r="E98" s="3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3"/>
      <c r="D99" s="3"/>
      <c r="E99" s="3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3"/>
      <c r="D100" s="3"/>
      <c r="E100" s="3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3"/>
      <c r="D101" s="3"/>
      <c r="E101" s="3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3"/>
      <c r="D102" s="3"/>
      <c r="E102" s="3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3"/>
      <c r="D103" s="3"/>
      <c r="E103" s="3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3"/>
      <c r="D104" s="3"/>
      <c r="E104" s="3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3"/>
      <c r="D105" s="3"/>
      <c r="E105" s="3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3"/>
      <c r="D106" s="3"/>
      <c r="E106" s="3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3"/>
      <c r="D107" s="3"/>
      <c r="E107" s="3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3"/>
      <c r="D108" s="3"/>
      <c r="E108" s="3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3"/>
      <c r="D109" s="3"/>
      <c r="E109" s="3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3"/>
      <c r="D110" s="3"/>
      <c r="E110" s="3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3"/>
      <c r="D111" s="3"/>
      <c r="E111" s="3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3"/>
      <c r="D112" s="3"/>
      <c r="E112" s="3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3"/>
      <c r="D113" s="3"/>
      <c r="E113" s="3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3"/>
      <c r="D114" s="3"/>
      <c r="E114" s="3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3"/>
      <c r="D115" s="3"/>
      <c r="E115" s="3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3"/>
      <c r="D116" s="3"/>
      <c r="E116" s="3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3"/>
      <c r="D117" s="3"/>
      <c r="E117" s="3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3"/>
      <c r="D118" s="3"/>
      <c r="E118" s="3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3"/>
      <c r="D119" s="3"/>
      <c r="E119" s="3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3"/>
      <c r="D120" s="3"/>
      <c r="E120" s="3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3"/>
      <c r="D121" s="3"/>
      <c r="E121" s="3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3"/>
      <c r="D122" s="3"/>
      <c r="E122" s="3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3"/>
      <c r="D123" s="3"/>
      <c r="E123" s="3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3"/>
      <c r="D124" s="3"/>
      <c r="E124" s="3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3"/>
      <c r="D125" s="3"/>
      <c r="E125" s="3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3"/>
      <c r="D126" s="3"/>
      <c r="E126" s="3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3"/>
      <c r="D127" s="3"/>
      <c r="E127" s="3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3"/>
      <c r="D128" s="3"/>
      <c r="E128" s="3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3"/>
      <c r="D129" s="3"/>
      <c r="E129" s="3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3"/>
      <c r="D130" s="3"/>
      <c r="E130" s="3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3"/>
      <c r="D131" s="3"/>
      <c r="E131" s="3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3"/>
      <c r="D132" s="3"/>
      <c r="E132" s="3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3"/>
      <c r="D133" s="3"/>
      <c r="E133" s="3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3"/>
      <c r="D134" s="3"/>
      <c r="E134" s="3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3"/>
      <c r="D135" s="3"/>
      <c r="E135" s="3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3"/>
      <c r="D136" s="3"/>
      <c r="E136" s="3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3"/>
      <c r="D137" s="3"/>
      <c r="E137" s="3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3"/>
      <c r="D138" s="3"/>
      <c r="E138" s="3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3"/>
      <c r="D139" s="3"/>
      <c r="E139" s="3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3"/>
      <c r="D140" s="3"/>
      <c r="E140" s="3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3"/>
      <c r="D141" s="3"/>
      <c r="E141" s="3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3"/>
      <c r="D142" s="3"/>
      <c r="E142" s="3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3"/>
      <c r="D143" s="3"/>
      <c r="E143" s="3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3"/>
      <c r="D144" s="3"/>
      <c r="E144" s="3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3"/>
      <c r="D145" s="3"/>
      <c r="E145" s="3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3"/>
      <c r="D146" s="3"/>
      <c r="E146" s="3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3"/>
      <c r="D147" s="3"/>
      <c r="E147" s="3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3"/>
      <c r="D148" s="3"/>
      <c r="E148" s="3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3"/>
      <c r="D149" s="3"/>
      <c r="E149" s="3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3"/>
      <c r="D150" s="3"/>
      <c r="E150" s="3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3"/>
      <c r="D151" s="3"/>
      <c r="E151" s="3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3"/>
      <c r="D152" s="3"/>
      <c r="E152" s="3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3"/>
      <c r="D153" s="3"/>
      <c r="E153" s="3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3"/>
      <c r="D154" s="3"/>
      <c r="E154" s="3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3"/>
      <c r="D155" s="3"/>
      <c r="E155" s="3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3"/>
      <c r="D156" s="3"/>
      <c r="E156" s="3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3"/>
      <c r="D157" s="3"/>
      <c r="E157" s="3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3"/>
      <c r="D158" s="3"/>
      <c r="E158" s="3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3"/>
      <c r="D159" s="3"/>
      <c r="E159" s="3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3"/>
      <c r="D160" s="3"/>
      <c r="E160" s="3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3"/>
      <c r="D161" s="3"/>
      <c r="E161" s="3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3"/>
      <c r="D162" s="3"/>
      <c r="E162" s="3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3"/>
      <c r="D163" s="3"/>
      <c r="E163" s="3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3"/>
      <c r="D164" s="3"/>
      <c r="E164" s="3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3"/>
      <c r="D165" s="3"/>
      <c r="E165" s="3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3"/>
      <c r="D166" s="3"/>
      <c r="E166" s="3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3"/>
      <c r="D167" s="3"/>
      <c r="E167" s="3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3"/>
      <c r="D168" s="3"/>
      <c r="E168" s="3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3"/>
      <c r="D169" s="3"/>
      <c r="E169" s="3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3"/>
      <c r="D170" s="3"/>
      <c r="E170" s="3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3"/>
      <c r="D171" s="3"/>
      <c r="E171" s="3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3"/>
      <c r="D172" s="3"/>
      <c r="E172" s="3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3"/>
      <c r="D173" s="3"/>
      <c r="E173" s="3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3"/>
      <c r="D174" s="3"/>
      <c r="E174" s="3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3"/>
      <c r="D175" s="3"/>
      <c r="E175" s="3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3"/>
      <c r="D176" s="3"/>
      <c r="E176" s="3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3"/>
      <c r="D177" s="3"/>
      <c r="E177" s="3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3"/>
      <c r="D178" s="3"/>
      <c r="E178" s="3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3"/>
      <c r="D179" s="3"/>
      <c r="E179" s="3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3"/>
      <c r="D180" s="3"/>
      <c r="E180" s="3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3"/>
      <c r="D181" s="3"/>
      <c r="E181" s="3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3"/>
      <c r="D182" s="3"/>
      <c r="E182" s="3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3"/>
      <c r="D183" s="3"/>
      <c r="E183" s="3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3"/>
      <c r="D184" s="3"/>
      <c r="E184" s="3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3"/>
      <c r="D185" s="3"/>
      <c r="E185" s="3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3"/>
      <c r="D186" s="3"/>
      <c r="E186" s="3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3"/>
      <c r="D187" s="3"/>
      <c r="E187" s="3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3"/>
      <c r="D188" s="3"/>
      <c r="E188" s="3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3"/>
      <c r="D189" s="3"/>
      <c r="E189" s="3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3"/>
      <c r="D190" s="3"/>
      <c r="E190" s="3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3"/>
      <c r="D191" s="3"/>
      <c r="E191" s="3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3"/>
      <c r="D192" s="3"/>
      <c r="E192" s="3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3"/>
      <c r="D193" s="3"/>
      <c r="E193" s="3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3"/>
      <c r="D194" s="3"/>
      <c r="E194" s="3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3"/>
      <c r="D195" s="3"/>
      <c r="E195" s="3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3"/>
      <c r="D196" s="3"/>
      <c r="E196" s="3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3"/>
      <c r="D197" s="3"/>
      <c r="E197" s="3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3"/>
      <c r="D198" s="3"/>
      <c r="E198" s="3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3"/>
      <c r="D199" s="3"/>
      <c r="E199" s="3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3"/>
      <c r="D200" s="3"/>
      <c r="E200" s="3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3"/>
      <c r="D201" s="3"/>
      <c r="E201" s="3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3"/>
      <c r="D202" s="3"/>
      <c r="E202" s="3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3"/>
      <c r="D203" s="3"/>
      <c r="E203" s="3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3"/>
      <c r="D204" s="3"/>
      <c r="E204" s="3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3"/>
      <c r="D205" s="3"/>
      <c r="E205" s="3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3"/>
      <c r="D206" s="3"/>
      <c r="E206" s="3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3"/>
      <c r="D207" s="3"/>
      <c r="E207" s="3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3"/>
      <c r="D208" s="3"/>
      <c r="E208" s="3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3"/>
      <c r="D209" s="3"/>
      <c r="E209" s="3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3"/>
      <c r="D210" s="3"/>
      <c r="E210" s="3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3"/>
      <c r="D211" s="3"/>
      <c r="E211" s="3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3"/>
      <c r="D212" s="3"/>
      <c r="E212" s="3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3"/>
      <c r="D213" s="3"/>
      <c r="E213" s="3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3"/>
      <c r="D214" s="3"/>
      <c r="E214" s="3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3"/>
      <c r="D215" s="3"/>
      <c r="E215" s="3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3"/>
      <c r="D216" s="3"/>
      <c r="E216" s="3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3"/>
      <c r="D217" s="3"/>
      <c r="E217" s="3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3"/>
      <c r="D218" s="3"/>
      <c r="E218" s="3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3"/>
      <c r="D219" s="3"/>
      <c r="E219" s="3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3"/>
      <c r="D220" s="3"/>
      <c r="E220" s="3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3"/>
      <c r="D221" s="3"/>
      <c r="E221" s="3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3"/>
      <c r="D222" s="3"/>
      <c r="E222" s="3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6">
    <mergeCell ref="B3:C3"/>
    <mergeCell ref="D3:F3"/>
    <mergeCell ref="B4:C4"/>
    <mergeCell ref="D4:F4"/>
    <mergeCell ref="B5:C5"/>
    <mergeCell ref="D5:F5"/>
  </mergeCells>
  <printOptions/>
  <pageMargins bottom="1.1506944444444445" footer="0.0" header="0.0" left="0.7479166666666667" right="0.7479166666666667" top="0.9840277777777778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20.0"/>
    <col customWidth="1" min="2" max="2" width="19.13"/>
    <col customWidth="1" min="3" max="3" width="43.0"/>
    <col customWidth="1" min="4" max="4" width="66.63"/>
    <col customWidth="1" min="5" max="5" width="15.5"/>
    <col customWidth="1" min="6" max="6" width="16.38"/>
    <col customWidth="1" min="7" max="9" width="14.63"/>
    <col customWidth="1" min="10" max="10" width="17.63"/>
    <col customWidth="1" min="11" max="11" width="8.13"/>
    <col customWidth="1" min="12" max="12" width="6.13"/>
    <col customWidth="1" min="13" max="28" width="9.0"/>
  </cols>
  <sheetData>
    <row r="1" ht="12.75" customHeight="1">
      <c r="A1" s="45"/>
      <c r="B1" s="46"/>
      <c r="C1" s="47"/>
      <c r="D1" s="47"/>
      <c r="E1" s="47"/>
      <c r="F1" s="10"/>
      <c r="G1" s="48"/>
      <c r="H1" s="48"/>
      <c r="I1" s="48"/>
      <c r="J1" s="10"/>
      <c r="K1" s="49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</row>
    <row r="2" ht="12.75" customHeight="1">
      <c r="A2" s="51" t="s">
        <v>29</v>
      </c>
      <c r="B2" s="52" t="s">
        <v>30</v>
      </c>
      <c r="C2" s="53"/>
      <c r="D2" s="54"/>
      <c r="E2" s="55"/>
      <c r="F2" s="56"/>
      <c r="G2" s="10"/>
      <c r="H2" s="10"/>
      <c r="I2" s="10"/>
      <c r="J2" s="10"/>
      <c r="K2" s="49"/>
      <c r="L2" s="50" t="s">
        <v>16</v>
      </c>
      <c r="M2" s="50" t="s">
        <v>31</v>
      </c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ht="12.75" customHeight="1">
      <c r="A3" s="51" t="s">
        <v>32</v>
      </c>
      <c r="B3" s="57" t="s">
        <v>33</v>
      </c>
      <c r="C3" s="58"/>
      <c r="D3" s="59"/>
      <c r="E3" s="55"/>
      <c r="F3" s="56"/>
      <c r="G3" s="10"/>
      <c r="H3" s="10"/>
      <c r="I3" s="10"/>
      <c r="J3" s="10"/>
      <c r="K3" s="49"/>
      <c r="L3" s="50" t="s">
        <v>17</v>
      </c>
      <c r="M3" s="50" t="s">
        <v>34</v>
      </c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</row>
    <row r="4" ht="14.25" customHeight="1">
      <c r="A4" s="60" t="s">
        <v>35</v>
      </c>
      <c r="B4" s="61"/>
      <c r="C4" s="62"/>
      <c r="D4" s="63"/>
      <c r="E4" s="64"/>
      <c r="F4" s="56"/>
      <c r="G4" s="10"/>
      <c r="H4" s="10"/>
      <c r="I4" s="10"/>
      <c r="J4" s="10"/>
      <c r="K4" s="49"/>
      <c r="L4" s="50" t="s">
        <v>18</v>
      </c>
      <c r="M4" s="50" t="s">
        <v>36</v>
      </c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</row>
    <row r="5" ht="12.75" customHeight="1">
      <c r="A5" s="65" t="s">
        <v>16</v>
      </c>
      <c r="B5" s="66" t="s">
        <v>17</v>
      </c>
      <c r="C5" s="67" t="s">
        <v>18</v>
      </c>
      <c r="D5" s="68" t="s">
        <v>37</v>
      </c>
      <c r="E5" s="69"/>
      <c r="F5" s="70"/>
      <c r="G5" s="71"/>
      <c r="H5" s="71"/>
      <c r="I5" s="71"/>
      <c r="J5" s="72"/>
      <c r="K5" s="73"/>
      <c r="L5" s="50" t="s">
        <v>38</v>
      </c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</row>
    <row r="6" ht="12.75" customHeight="1">
      <c r="A6" s="74">
        <f>COUNTIF(F10:F1013,"Passed")</f>
        <v>21</v>
      </c>
      <c r="B6" s="75">
        <f>COUNTIF(F10:F1013,"Failed")</f>
        <v>4</v>
      </c>
      <c r="C6" s="76">
        <f>D6-B6-A6</f>
        <v>3</v>
      </c>
      <c r="D6" s="74">
        <f>COUNTA(A10:A1013)</f>
        <v>28</v>
      </c>
      <c r="E6" s="77"/>
      <c r="F6" s="78"/>
      <c r="G6" s="79"/>
      <c r="H6" s="79"/>
      <c r="I6" s="79"/>
      <c r="J6" s="72"/>
      <c r="K6" s="73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</row>
    <row r="7" ht="12.75" customHeight="1">
      <c r="A7" s="50"/>
      <c r="B7" s="80"/>
      <c r="C7" s="50"/>
      <c r="D7" s="81"/>
      <c r="E7" s="81"/>
      <c r="F7" s="82"/>
      <c r="G7" s="82"/>
      <c r="H7" s="82"/>
      <c r="I7" s="82"/>
      <c r="J7" s="82"/>
      <c r="K7" s="73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>
      <c r="A8" s="83" t="s">
        <v>39</v>
      </c>
      <c r="B8" s="83" t="s">
        <v>40</v>
      </c>
      <c r="C8" s="83" t="s">
        <v>41</v>
      </c>
      <c r="D8" s="83" t="s">
        <v>42</v>
      </c>
      <c r="E8" s="83" t="s">
        <v>43</v>
      </c>
      <c r="F8" s="83" t="s">
        <v>44</v>
      </c>
      <c r="G8" s="83" t="s">
        <v>45</v>
      </c>
      <c r="H8" s="83" t="s">
        <v>35</v>
      </c>
      <c r="I8" s="83" t="s">
        <v>46</v>
      </c>
      <c r="J8" s="83" t="s">
        <v>47</v>
      </c>
      <c r="K8" s="84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</row>
    <row r="9">
      <c r="A9" s="85"/>
      <c r="B9" s="86" t="s">
        <v>48</v>
      </c>
      <c r="C9" s="85"/>
      <c r="D9" s="85"/>
      <c r="E9" s="85"/>
      <c r="F9" s="85"/>
      <c r="G9" s="85"/>
      <c r="H9" s="85"/>
      <c r="I9" s="85"/>
      <c r="J9" s="85"/>
      <c r="K9" s="87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</row>
    <row r="10" outlineLevel="1">
      <c r="A10" s="88" t="str">
        <f t="shared" ref="A10:A15" si="1">IF(OR(C10&lt;&gt;"",D10&lt;&gt;""),"["&amp;TEXT($B$2,"##")&amp;"-"&amp;TEXT(ROW()-10+1,"##")&amp;"]","")</f>
        <v>[UC01 - Register-1]</v>
      </c>
      <c r="B10" s="89" t="s">
        <v>49</v>
      </c>
      <c r="C10" s="90" t="s">
        <v>50</v>
      </c>
      <c r="D10" s="91" t="s">
        <v>51</v>
      </c>
      <c r="E10" s="92" t="s">
        <v>36</v>
      </c>
      <c r="F10" s="93" t="s">
        <v>16</v>
      </c>
      <c r="G10" s="88"/>
      <c r="H10" s="88"/>
      <c r="I10" s="88"/>
      <c r="J10" s="88"/>
      <c r="K10" s="9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outlineLevel="1">
      <c r="A11" s="88" t="str">
        <f t="shared" si="1"/>
        <v>[UC01 - Register-2]</v>
      </c>
      <c r="B11" s="89" t="s">
        <v>52</v>
      </c>
      <c r="C11" s="90" t="s">
        <v>53</v>
      </c>
      <c r="D11" s="91" t="s">
        <v>54</v>
      </c>
      <c r="E11" s="92" t="s">
        <v>34</v>
      </c>
      <c r="F11" s="93" t="s">
        <v>16</v>
      </c>
      <c r="G11" s="88"/>
      <c r="H11" s="88"/>
      <c r="I11" s="88"/>
      <c r="J11" s="88"/>
      <c r="K11" s="9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outlineLevel="1">
      <c r="A12" s="88" t="str">
        <f t="shared" si="1"/>
        <v>[UC01 - Register-3]</v>
      </c>
      <c r="B12" s="89" t="s">
        <v>55</v>
      </c>
      <c r="C12" s="90" t="s">
        <v>56</v>
      </c>
      <c r="D12" s="91" t="s">
        <v>57</v>
      </c>
      <c r="E12" s="92" t="s">
        <v>34</v>
      </c>
      <c r="F12" s="93" t="s">
        <v>16</v>
      </c>
      <c r="G12" s="88"/>
      <c r="H12" s="88"/>
      <c r="I12" s="88"/>
      <c r="J12" s="88"/>
      <c r="K12" s="9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outlineLevel="1">
      <c r="A13" s="88" t="str">
        <f t="shared" si="1"/>
        <v>[UC01 - Register-4]</v>
      </c>
      <c r="B13" s="96" t="s">
        <v>58</v>
      </c>
      <c r="C13" s="96" t="s">
        <v>59</v>
      </c>
      <c r="D13" s="96" t="s">
        <v>60</v>
      </c>
      <c r="E13" s="92" t="s">
        <v>36</v>
      </c>
      <c r="F13" s="93" t="s">
        <v>17</v>
      </c>
      <c r="G13" s="90" t="s">
        <v>61</v>
      </c>
      <c r="H13" s="90" t="s">
        <v>62</v>
      </c>
      <c r="I13" s="97">
        <v>46099.0</v>
      </c>
      <c r="J13" s="88"/>
      <c r="K13" s="9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outlineLevel="1">
      <c r="A14" s="88" t="str">
        <f t="shared" si="1"/>
        <v>[UC01 - Register-5]</v>
      </c>
      <c r="B14" s="96" t="s">
        <v>63</v>
      </c>
      <c r="C14" s="96" t="s">
        <v>64</v>
      </c>
      <c r="D14" s="96" t="s">
        <v>65</v>
      </c>
      <c r="E14" s="92" t="s">
        <v>36</v>
      </c>
      <c r="F14" s="93" t="s">
        <v>16</v>
      </c>
      <c r="G14" s="88"/>
      <c r="H14" s="88"/>
      <c r="I14" s="88"/>
      <c r="J14" s="88"/>
      <c r="K14" s="9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outlineLevel="1">
      <c r="A15" s="88" t="str">
        <f t="shared" si="1"/>
        <v>[UC01 - Register-6]</v>
      </c>
      <c r="B15" s="96" t="s">
        <v>66</v>
      </c>
      <c r="C15" s="96" t="s">
        <v>67</v>
      </c>
      <c r="D15" s="96" t="s">
        <v>68</v>
      </c>
      <c r="E15" s="92" t="s">
        <v>34</v>
      </c>
      <c r="F15" s="93" t="s">
        <v>16</v>
      </c>
      <c r="G15" s="88"/>
      <c r="H15" s="88"/>
      <c r="I15" s="88"/>
      <c r="J15" s="88"/>
      <c r="K15" s="9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85"/>
      <c r="B16" s="86" t="s">
        <v>69</v>
      </c>
      <c r="C16" s="85"/>
      <c r="D16" s="85"/>
      <c r="E16" s="98"/>
      <c r="F16" s="98"/>
      <c r="G16" s="85"/>
      <c r="H16" s="85"/>
      <c r="I16" s="85"/>
      <c r="J16" s="85"/>
      <c r="K16" s="9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outlineLevel="1">
      <c r="A17" s="88" t="str">
        <f t="shared" ref="A17:A32" si="2">IF(OR(C17&lt;&gt;"",D17&lt;&gt;""),"["&amp;TEXT($B$2,"##")&amp;"-"&amp;TEXT(ROW()-10,"##")&amp;"]","")</f>
        <v>[UC01 - Register-7]</v>
      </c>
      <c r="B17" s="89" t="s">
        <v>70</v>
      </c>
      <c r="C17" s="90" t="s">
        <v>71</v>
      </c>
      <c r="D17" s="91" t="s">
        <v>72</v>
      </c>
      <c r="E17" s="99" t="s">
        <v>36</v>
      </c>
      <c r="F17" s="93" t="s">
        <v>16</v>
      </c>
      <c r="G17" s="88"/>
      <c r="H17" s="88"/>
      <c r="I17" s="88"/>
      <c r="J17" s="88"/>
      <c r="K17" s="100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outlineLevel="1">
      <c r="A18" s="88" t="str">
        <f t="shared" si="2"/>
        <v>[UC01 - Register-8]</v>
      </c>
      <c r="B18" s="89" t="s">
        <v>73</v>
      </c>
      <c r="C18" s="90" t="s">
        <v>74</v>
      </c>
      <c r="D18" s="91" t="s">
        <v>75</v>
      </c>
      <c r="E18" s="92" t="s">
        <v>36</v>
      </c>
      <c r="F18" s="93" t="s">
        <v>16</v>
      </c>
      <c r="G18" s="88"/>
      <c r="H18" s="88"/>
      <c r="I18" s="88"/>
      <c r="J18" s="88"/>
      <c r="K18" s="100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outlineLevel="1">
      <c r="A19" s="88" t="str">
        <f t="shared" si="2"/>
        <v>[UC01 - Register-9]</v>
      </c>
      <c r="B19" s="101" t="s">
        <v>76</v>
      </c>
      <c r="C19" s="102" t="s">
        <v>77</v>
      </c>
      <c r="D19" s="91" t="s">
        <v>78</v>
      </c>
      <c r="E19" s="92" t="s">
        <v>36</v>
      </c>
      <c r="F19" s="93" t="s">
        <v>16</v>
      </c>
      <c r="G19" s="88"/>
      <c r="H19" s="88"/>
      <c r="I19" s="88"/>
      <c r="J19" s="88"/>
      <c r="K19" s="100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outlineLevel="1">
      <c r="A20" s="88" t="str">
        <f t="shared" si="2"/>
        <v>[UC01 - Register-10]</v>
      </c>
      <c r="B20" s="89" t="s">
        <v>79</v>
      </c>
      <c r="C20" s="90" t="s">
        <v>80</v>
      </c>
      <c r="D20" s="91" t="s">
        <v>81</v>
      </c>
      <c r="E20" s="92" t="s">
        <v>36</v>
      </c>
      <c r="F20" s="93" t="s">
        <v>16</v>
      </c>
      <c r="G20" s="88"/>
      <c r="H20" s="88"/>
      <c r="I20" s="88"/>
      <c r="J20" s="88"/>
      <c r="K20" s="100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outlineLevel="1">
      <c r="A21" s="88" t="str">
        <f t="shared" si="2"/>
        <v>[UC01 - Register-11]</v>
      </c>
      <c r="B21" s="89" t="s">
        <v>82</v>
      </c>
      <c r="C21" s="90" t="s">
        <v>83</v>
      </c>
      <c r="D21" s="91" t="s">
        <v>84</v>
      </c>
      <c r="E21" s="92" t="s">
        <v>34</v>
      </c>
      <c r="F21" s="93" t="s">
        <v>16</v>
      </c>
      <c r="G21" s="88"/>
      <c r="H21" s="88"/>
      <c r="I21" s="88"/>
      <c r="J21" s="88"/>
      <c r="K21" s="100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outlineLevel="1">
      <c r="A22" s="88" t="str">
        <f t="shared" si="2"/>
        <v>[UC01 - Register-12]</v>
      </c>
      <c r="B22" s="89" t="s">
        <v>85</v>
      </c>
      <c r="C22" s="90" t="s">
        <v>86</v>
      </c>
      <c r="D22" s="91" t="s">
        <v>87</v>
      </c>
      <c r="E22" s="92" t="s">
        <v>36</v>
      </c>
      <c r="F22" s="93" t="s">
        <v>16</v>
      </c>
      <c r="G22" s="88"/>
      <c r="H22" s="88"/>
      <c r="I22" s="88"/>
      <c r="J22" s="88"/>
      <c r="K22" s="100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outlineLevel="1">
      <c r="A23" s="88" t="str">
        <f t="shared" si="2"/>
        <v>[UC01 - Register-13]</v>
      </c>
      <c r="B23" s="89" t="s">
        <v>88</v>
      </c>
      <c r="C23" s="90" t="s">
        <v>89</v>
      </c>
      <c r="D23" s="91" t="s">
        <v>90</v>
      </c>
      <c r="E23" s="92" t="s">
        <v>36</v>
      </c>
      <c r="F23" s="93" t="s">
        <v>16</v>
      </c>
      <c r="G23" s="88"/>
      <c r="H23" s="88"/>
      <c r="I23" s="88"/>
      <c r="J23" s="88"/>
      <c r="K23" s="10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outlineLevel="1">
      <c r="A24" s="88" t="str">
        <f t="shared" si="2"/>
        <v>[UC01 - Register-14]</v>
      </c>
      <c r="B24" s="89" t="s">
        <v>91</v>
      </c>
      <c r="C24" s="90" t="s">
        <v>92</v>
      </c>
      <c r="D24" s="91" t="s">
        <v>93</v>
      </c>
      <c r="E24" s="92" t="s">
        <v>36</v>
      </c>
      <c r="F24" s="93" t="s">
        <v>16</v>
      </c>
      <c r="G24" s="88"/>
      <c r="H24" s="88"/>
      <c r="I24" s="88"/>
      <c r="J24" s="88"/>
      <c r="K24" s="100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outlineLevel="1">
      <c r="A25" s="88" t="str">
        <f t="shared" si="2"/>
        <v>[UC01 - Register-15]</v>
      </c>
      <c r="B25" s="89" t="s">
        <v>94</v>
      </c>
      <c r="C25" s="90" t="s">
        <v>95</v>
      </c>
      <c r="D25" s="91" t="s">
        <v>96</v>
      </c>
      <c r="E25" s="92" t="s">
        <v>34</v>
      </c>
      <c r="F25" s="93" t="s">
        <v>16</v>
      </c>
      <c r="G25" s="88"/>
      <c r="H25" s="88"/>
      <c r="I25" s="88"/>
      <c r="J25" s="88"/>
      <c r="K25" s="100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outlineLevel="1">
      <c r="A26" s="88" t="str">
        <f t="shared" si="2"/>
        <v>[UC01 - Register-16]</v>
      </c>
      <c r="B26" s="89" t="s">
        <v>97</v>
      </c>
      <c r="C26" s="90" t="s">
        <v>98</v>
      </c>
      <c r="D26" s="91" t="s">
        <v>99</v>
      </c>
      <c r="E26" s="92" t="s">
        <v>36</v>
      </c>
      <c r="F26" s="93" t="s">
        <v>17</v>
      </c>
      <c r="G26" s="90" t="s">
        <v>61</v>
      </c>
      <c r="H26" s="90" t="s">
        <v>62</v>
      </c>
      <c r="I26" s="97">
        <v>46099.0</v>
      </c>
      <c r="J26" s="88"/>
      <c r="K26" s="100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outlineLevel="1">
      <c r="A27" s="88" t="str">
        <f t="shared" si="2"/>
        <v>[UC01 - Register-17]</v>
      </c>
      <c r="B27" s="89" t="s">
        <v>100</v>
      </c>
      <c r="C27" s="90" t="s">
        <v>101</v>
      </c>
      <c r="D27" s="91" t="s">
        <v>102</v>
      </c>
      <c r="E27" s="92" t="s">
        <v>34</v>
      </c>
      <c r="F27" s="93" t="s">
        <v>17</v>
      </c>
      <c r="G27" s="90" t="s">
        <v>103</v>
      </c>
      <c r="H27" s="90" t="s">
        <v>62</v>
      </c>
      <c r="I27" s="97">
        <v>46099.0</v>
      </c>
      <c r="J27" s="88"/>
      <c r="K27" s="100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outlineLevel="1">
      <c r="A28" s="88" t="str">
        <f t="shared" si="2"/>
        <v>[UC01 - Register-18]</v>
      </c>
      <c r="B28" s="89" t="s">
        <v>104</v>
      </c>
      <c r="C28" s="90" t="s">
        <v>105</v>
      </c>
      <c r="D28" s="91" t="s">
        <v>106</v>
      </c>
      <c r="E28" s="92" t="s">
        <v>34</v>
      </c>
      <c r="F28" s="93" t="s">
        <v>18</v>
      </c>
      <c r="G28" s="88"/>
      <c r="H28" s="88"/>
      <c r="I28" s="88"/>
      <c r="J28" s="88"/>
      <c r="K28" s="100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outlineLevel="1">
      <c r="A29" s="88" t="str">
        <f t="shared" si="2"/>
        <v>[UC01 - Register-19]</v>
      </c>
      <c r="B29" s="89" t="s">
        <v>107</v>
      </c>
      <c r="C29" s="90" t="s">
        <v>108</v>
      </c>
      <c r="D29" s="91" t="s">
        <v>109</v>
      </c>
      <c r="E29" s="92" t="s">
        <v>34</v>
      </c>
      <c r="F29" s="93" t="s">
        <v>16</v>
      </c>
      <c r="G29" s="88"/>
      <c r="H29" s="88"/>
      <c r="I29" s="88"/>
      <c r="J29" s="88"/>
      <c r="K29" s="100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outlineLevel="1">
      <c r="A30" s="88" t="str">
        <f t="shared" si="2"/>
        <v>[UC01 - Register-20]</v>
      </c>
      <c r="B30" s="89" t="s">
        <v>110</v>
      </c>
      <c r="C30" s="90" t="s">
        <v>111</v>
      </c>
      <c r="D30" s="91" t="s">
        <v>112</v>
      </c>
      <c r="E30" s="92" t="s">
        <v>36</v>
      </c>
      <c r="F30" s="93" t="s">
        <v>18</v>
      </c>
      <c r="G30" s="90"/>
      <c r="H30" s="88"/>
      <c r="I30" s="88"/>
      <c r="J30" s="88"/>
      <c r="K30" s="100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outlineLevel="1">
      <c r="A31" s="88" t="str">
        <f t="shared" si="2"/>
        <v>[UC01 - Register-21]</v>
      </c>
      <c r="B31" s="89" t="s">
        <v>113</v>
      </c>
      <c r="C31" s="90" t="s">
        <v>114</v>
      </c>
      <c r="D31" s="91" t="s">
        <v>115</v>
      </c>
      <c r="E31" s="92" t="s">
        <v>36</v>
      </c>
      <c r="F31" s="93" t="s">
        <v>16</v>
      </c>
      <c r="G31" s="88"/>
      <c r="H31" s="88"/>
      <c r="I31" s="88"/>
      <c r="J31" s="88"/>
      <c r="K31" s="100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outlineLevel="1">
      <c r="A32" s="88" t="str">
        <f t="shared" si="2"/>
        <v>[UC01 - Register-22]</v>
      </c>
      <c r="B32" s="89" t="s">
        <v>116</v>
      </c>
      <c r="C32" s="90" t="s">
        <v>117</v>
      </c>
      <c r="D32" s="91" t="s">
        <v>118</v>
      </c>
      <c r="E32" s="92" t="s">
        <v>36</v>
      </c>
      <c r="F32" s="93" t="s">
        <v>16</v>
      </c>
      <c r="G32" s="88"/>
      <c r="H32" s="88"/>
      <c r="I32" s="88"/>
      <c r="J32" s="88"/>
      <c r="K32" s="100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5.75" customHeight="1">
      <c r="A33" s="85"/>
      <c r="B33" s="86" t="s">
        <v>119</v>
      </c>
      <c r="C33" s="85"/>
      <c r="D33" s="85"/>
      <c r="E33" s="98"/>
      <c r="F33" s="85"/>
      <c r="G33" s="85"/>
      <c r="H33" s="85"/>
      <c r="I33" s="85"/>
      <c r="J33" s="85"/>
      <c r="K33" s="87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</row>
    <row r="34" ht="15.75" customHeight="1" outlineLevel="1">
      <c r="A34" s="88" t="str">
        <f t="shared" ref="A34:A39" si="3">IF(OR(C34&lt;&gt;"",D34&lt;&gt;""),"["&amp;TEXT($B$2,"##")&amp;"-"&amp;TEXT(ROW()-10-1,"##")&amp;"]","")</f>
        <v>[UC01 - Register-23]</v>
      </c>
      <c r="B34" s="96" t="s">
        <v>120</v>
      </c>
      <c r="C34" s="90" t="s">
        <v>121</v>
      </c>
      <c r="D34" s="91" t="s">
        <v>122</v>
      </c>
      <c r="E34" s="99" t="s">
        <v>34</v>
      </c>
      <c r="F34" s="93" t="s">
        <v>16</v>
      </c>
      <c r="G34" s="88"/>
      <c r="H34" s="88"/>
      <c r="I34" s="88"/>
      <c r="J34" s="88"/>
      <c r="K34" s="9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 outlineLevel="1">
      <c r="A35" s="88" t="str">
        <f t="shared" si="3"/>
        <v>[UC01 - Register-24]</v>
      </c>
      <c r="B35" s="89" t="s">
        <v>123</v>
      </c>
      <c r="C35" s="90" t="s">
        <v>124</v>
      </c>
      <c r="D35" s="91" t="s">
        <v>125</v>
      </c>
      <c r="E35" s="92" t="s">
        <v>36</v>
      </c>
      <c r="F35" s="93" t="s">
        <v>16</v>
      </c>
      <c r="G35" s="88"/>
      <c r="H35" s="88"/>
      <c r="I35" s="88"/>
      <c r="J35" s="88"/>
      <c r="K35" s="95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 outlineLevel="1">
      <c r="A36" s="88" t="str">
        <f t="shared" si="3"/>
        <v>[UC01 - Register-25]</v>
      </c>
      <c r="B36" s="89" t="s">
        <v>126</v>
      </c>
      <c r="C36" s="90" t="s">
        <v>127</v>
      </c>
      <c r="D36" s="91" t="s">
        <v>128</v>
      </c>
      <c r="E36" s="92" t="s">
        <v>36</v>
      </c>
      <c r="F36" s="93" t="s">
        <v>17</v>
      </c>
      <c r="G36" s="90" t="s">
        <v>129</v>
      </c>
      <c r="H36" s="90" t="s">
        <v>62</v>
      </c>
      <c r="I36" s="97">
        <v>46099.0</v>
      </c>
      <c r="J36" s="88"/>
      <c r="K36" s="87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</row>
    <row r="37" ht="15.75" customHeight="1" outlineLevel="1">
      <c r="A37" s="88" t="str">
        <f t="shared" si="3"/>
        <v>[UC01 - Register-26]</v>
      </c>
      <c r="B37" s="89" t="s">
        <v>130</v>
      </c>
      <c r="C37" s="90" t="s">
        <v>131</v>
      </c>
      <c r="D37" s="91" t="s">
        <v>132</v>
      </c>
      <c r="E37" s="92" t="s">
        <v>36</v>
      </c>
      <c r="F37" s="93" t="s">
        <v>18</v>
      </c>
      <c r="G37" s="88"/>
      <c r="H37" s="88"/>
      <c r="I37" s="88"/>
      <c r="J37" s="88"/>
      <c r="K37" s="103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</row>
    <row r="38" ht="15.75" customHeight="1" outlineLevel="1">
      <c r="A38" s="88" t="str">
        <f t="shared" si="3"/>
        <v>[UC01 - Register-27]</v>
      </c>
      <c r="B38" s="89" t="s">
        <v>133</v>
      </c>
      <c r="C38" s="90" t="s">
        <v>134</v>
      </c>
      <c r="D38" s="91" t="s">
        <v>135</v>
      </c>
      <c r="E38" s="92" t="s">
        <v>36</v>
      </c>
      <c r="F38" s="93" t="s">
        <v>16</v>
      </c>
      <c r="G38" s="88"/>
      <c r="H38" s="88"/>
      <c r="I38" s="88"/>
      <c r="J38" s="88"/>
      <c r="K38" s="105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</row>
    <row r="39" ht="44.25" customHeight="1">
      <c r="A39" s="88" t="str">
        <f t="shared" si="3"/>
        <v>[UC01 - Register-28]</v>
      </c>
      <c r="B39" s="107" t="s">
        <v>136</v>
      </c>
      <c r="C39" s="90" t="s">
        <v>137</v>
      </c>
      <c r="D39" s="91" t="s">
        <v>138</v>
      </c>
      <c r="E39" s="92" t="s">
        <v>36</v>
      </c>
      <c r="F39" s="93" t="s">
        <v>16</v>
      </c>
      <c r="G39" s="108"/>
      <c r="H39" s="108"/>
      <c r="I39" s="108"/>
      <c r="J39" s="108"/>
      <c r="K39" s="109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</row>
    <row r="40" ht="12.75" customHeight="1">
      <c r="A40" s="110"/>
      <c r="B40" s="111"/>
      <c r="C40" s="110"/>
      <c r="D40" s="110"/>
      <c r="E40" s="110"/>
      <c r="F40" s="110"/>
      <c r="G40" s="110"/>
      <c r="H40" s="110"/>
      <c r="I40" s="110"/>
      <c r="J40" s="110"/>
      <c r="K40" s="112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</row>
    <row r="41" ht="12.75" customHeight="1">
      <c r="A41" s="1"/>
      <c r="B41" s="113"/>
      <c r="C41" s="1"/>
      <c r="D41" s="1"/>
      <c r="E41" s="1"/>
      <c r="F41" s="1"/>
      <c r="G41" s="1"/>
      <c r="H41" s="1"/>
      <c r="I41" s="1"/>
      <c r="J41" s="1"/>
      <c r="K41" s="100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2.75" customHeight="1">
      <c r="A42" s="1"/>
      <c r="B42" s="113"/>
      <c r="C42" s="1"/>
      <c r="D42" s="1"/>
      <c r="E42" s="1"/>
      <c r="F42" s="1"/>
      <c r="G42" s="1"/>
      <c r="H42" s="1"/>
      <c r="I42" s="1"/>
      <c r="J42" s="1"/>
      <c r="K42" s="100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2.75" customHeight="1">
      <c r="A43" s="1"/>
      <c r="B43" s="113"/>
      <c r="C43" s="1"/>
      <c r="D43" s="1"/>
      <c r="E43" s="1"/>
      <c r="F43" s="1"/>
      <c r="G43" s="1"/>
      <c r="H43" s="1"/>
      <c r="I43" s="1"/>
      <c r="J43" s="1"/>
      <c r="K43" s="100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2.75" customHeight="1">
      <c r="A44" s="1"/>
      <c r="B44" s="113"/>
      <c r="C44" s="1"/>
      <c r="D44" s="1"/>
      <c r="E44" s="1"/>
      <c r="F44" s="1"/>
      <c r="G44" s="1"/>
      <c r="H44" s="1"/>
      <c r="I44" s="1"/>
      <c r="J44" s="1"/>
      <c r="K44" s="100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2.75" customHeight="1">
      <c r="A45" s="1"/>
      <c r="B45" s="113"/>
      <c r="C45" s="1"/>
      <c r="D45" s="1"/>
      <c r="E45" s="1"/>
      <c r="F45" s="1"/>
      <c r="G45" s="1"/>
      <c r="H45" s="1"/>
      <c r="I45" s="1"/>
      <c r="J45" s="1"/>
      <c r="K45" s="100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2.75" customHeight="1">
      <c r="A46" s="1"/>
      <c r="B46" s="113"/>
      <c r="C46" s="1"/>
      <c r="D46" s="1"/>
      <c r="E46" s="1"/>
      <c r="F46" s="1"/>
      <c r="G46" s="1"/>
      <c r="H46" s="1"/>
      <c r="I46" s="1"/>
      <c r="J46" s="1"/>
      <c r="K46" s="100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2.75" customHeight="1">
      <c r="A47" s="1"/>
      <c r="B47" s="113"/>
      <c r="C47" s="1"/>
      <c r="D47" s="1"/>
      <c r="E47" s="1"/>
      <c r="F47" s="1"/>
      <c r="G47" s="1"/>
      <c r="H47" s="1"/>
      <c r="I47" s="1"/>
      <c r="J47" s="1"/>
      <c r="K47" s="100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2.75" customHeight="1">
      <c r="A48" s="1"/>
      <c r="B48" s="113"/>
      <c r="C48" s="1"/>
      <c r="D48" s="1"/>
      <c r="E48" s="1"/>
      <c r="F48" s="1"/>
      <c r="G48" s="1"/>
      <c r="H48" s="1"/>
      <c r="I48" s="1"/>
      <c r="J48" s="1"/>
      <c r="K48" s="100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2.75" customHeight="1">
      <c r="A49" s="1"/>
      <c r="B49" s="113"/>
      <c r="C49" s="1"/>
      <c r="D49" s="1"/>
      <c r="E49" s="1"/>
      <c r="F49" s="1"/>
      <c r="G49" s="1"/>
      <c r="H49" s="1"/>
      <c r="I49" s="1"/>
      <c r="J49" s="1"/>
      <c r="K49" s="100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2.75" customHeight="1">
      <c r="A50" s="1"/>
      <c r="B50" s="113"/>
      <c r="C50" s="1"/>
      <c r="D50" s="1"/>
      <c r="E50" s="1"/>
      <c r="F50" s="1"/>
      <c r="G50" s="1"/>
      <c r="H50" s="1"/>
      <c r="I50" s="1"/>
      <c r="J50" s="1"/>
      <c r="K50" s="100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2.75" customHeight="1">
      <c r="A51" s="1"/>
      <c r="B51" s="113"/>
      <c r="C51" s="1"/>
      <c r="D51" s="1"/>
      <c r="E51" s="1"/>
      <c r="F51" s="1"/>
      <c r="G51" s="1"/>
      <c r="H51" s="1"/>
      <c r="I51" s="1"/>
      <c r="J51" s="1"/>
      <c r="K51" s="100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2.75" customHeight="1">
      <c r="A52" s="1"/>
      <c r="B52" s="113"/>
      <c r="C52" s="1"/>
      <c r="D52" s="1"/>
      <c r="E52" s="1"/>
      <c r="F52" s="1"/>
      <c r="G52" s="1"/>
      <c r="H52" s="1"/>
      <c r="I52" s="1"/>
      <c r="J52" s="1"/>
      <c r="K52" s="100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2.75" customHeight="1">
      <c r="A53" s="1"/>
      <c r="B53" s="113"/>
      <c r="C53" s="1"/>
      <c r="D53" s="1"/>
      <c r="E53" s="1"/>
      <c r="F53" s="1"/>
      <c r="G53" s="1"/>
      <c r="H53" s="1"/>
      <c r="I53" s="1"/>
      <c r="J53" s="1"/>
      <c r="K53" s="100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2.75" customHeight="1">
      <c r="A54" s="1"/>
      <c r="B54" s="113"/>
      <c r="C54" s="1"/>
      <c r="D54" s="1"/>
      <c r="E54" s="1"/>
      <c r="F54" s="1"/>
      <c r="G54" s="1"/>
      <c r="H54" s="1"/>
      <c r="I54" s="1"/>
      <c r="J54" s="1"/>
      <c r="K54" s="100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2.75" customHeight="1">
      <c r="A55" s="1"/>
      <c r="B55" s="113"/>
      <c r="C55" s="1"/>
      <c r="D55" s="1"/>
      <c r="E55" s="1"/>
      <c r="F55" s="1"/>
      <c r="G55" s="1"/>
      <c r="H55" s="1"/>
      <c r="I55" s="1"/>
      <c r="J55" s="1"/>
      <c r="K55" s="100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2.75" customHeight="1">
      <c r="A56" s="1"/>
      <c r="B56" s="113"/>
      <c r="C56" s="1"/>
      <c r="D56" s="1"/>
      <c r="E56" s="1"/>
      <c r="F56" s="1"/>
      <c r="G56" s="1"/>
      <c r="H56" s="1"/>
      <c r="I56" s="1"/>
      <c r="J56" s="1"/>
      <c r="K56" s="100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2.75" customHeight="1">
      <c r="A57" s="1"/>
      <c r="B57" s="113"/>
      <c r="C57" s="1"/>
      <c r="D57" s="1"/>
      <c r="E57" s="1"/>
      <c r="F57" s="1"/>
      <c r="G57" s="1"/>
      <c r="H57" s="1"/>
      <c r="I57" s="1"/>
      <c r="J57" s="1"/>
      <c r="K57" s="100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2.75" customHeight="1">
      <c r="A58" s="1"/>
      <c r="B58" s="113"/>
      <c r="C58" s="1"/>
      <c r="D58" s="1"/>
      <c r="E58" s="1"/>
      <c r="F58" s="1"/>
      <c r="G58" s="1"/>
      <c r="H58" s="1"/>
      <c r="I58" s="1"/>
      <c r="J58" s="1"/>
      <c r="K58" s="100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2.75" customHeight="1">
      <c r="A59" s="1"/>
      <c r="B59" s="113"/>
      <c r="C59" s="1"/>
      <c r="D59" s="1"/>
      <c r="E59" s="1"/>
      <c r="F59" s="1"/>
      <c r="G59" s="1"/>
      <c r="H59" s="1"/>
      <c r="I59" s="1"/>
      <c r="J59" s="1"/>
      <c r="K59" s="10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2.75" customHeight="1">
      <c r="A60" s="1"/>
      <c r="B60" s="113"/>
      <c r="C60" s="1"/>
      <c r="D60" s="1"/>
      <c r="E60" s="1"/>
      <c r="F60" s="1"/>
      <c r="G60" s="1"/>
      <c r="H60" s="1"/>
      <c r="I60" s="1"/>
      <c r="J60" s="1"/>
      <c r="K60" s="10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2.75" customHeight="1">
      <c r="A61" s="1"/>
      <c r="B61" s="113"/>
      <c r="C61" s="1"/>
      <c r="D61" s="1"/>
      <c r="E61" s="1"/>
      <c r="F61" s="1"/>
      <c r="G61" s="1"/>
      <c r="H61" s="1"/>
      <c r="I61" s="1"/>
      <c r="J61" s="1"/>
      <c r="K61" s="10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2.75" customHeight="1">
      <c r="A62" s="1"/>
      <c r="B62" s="113"/>
      <c r="C62" s="1"/>
      <c r="D62" s="1"/>
      <c r="E62" s="1"/>
      <c r="F62" s="1"/>
      <c r="G62" s="1"/>
      <c r="H62" s="1"/>
      <c r="I62" s="1"/>
      <c r="J62" s="1"/>
      <c r="K62" s="100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2.75" customHeight="1">
      <c r="A63" s="1"/>
      <c r="B63" s="113"/>
      <c r="C63" s="1"/>
      <c r="D63" s="1"/>
      <c r="E63" s="1"/>
      <c r="F63" s="1"/>
      <c r="G63" s="1"/>
      <c r="H63" s="1"/>
      <c r="I63" s="1"/>
      <c r="J63" s="1"/>
      <c r="K63" s="100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2.75" customHeight="1">
      <c r="A64" s="1"/>
      <c r="B64" s="113"/>
      <c r="C64" s="1"/>
      <c r="D64" s="1"/>
      <c r="E64" s="1"/>
      <c r="F64" s="1"/>
      <c r="G64" s="1"/>
      <c r="H64" s="1"/>
      <c r="I64" s="1"/>
      <c r="J64" s="1"/>
      <c r="K64" s="10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2.75" customHeight="1">
      <c r="A65" s="1"/>
      <c r="B65" s="113"/>
      <c r="C65" s="1"/>
      <c r="D65" s="1"/>
      <c r="E65" s="1"/>
      <c r="F65" s="1"/>
      <c r="G65" s="1"/>
      <c r="H65" s="1"/>
      <c r="I65" s="1"/>
      <c r="J65" s="1"/>
      <c r="K65" s="100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2.75" customHeight="1">
      <c r="A66" s="1"/>
      <c r="B66" s="113"/>
      <c r="C66" s="1"/>
      <c r="D66" s="1"/>
      <c r="E66" s="1"/>
      <c r="F66" s="1"/>
      <c r="G66" s="1"/>
      <c r="H66" s="1"/>
      <c r="I66" s="1"/>
      <c r="J66" s="1"/>
      <c r="K66" s="10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2.75" customHeight="1">
      <c r="A67" s="1"/>
      <c r="B67" s="113"/>
      <c r="C67" s="1"/>
      <c r="D67" s="1"/>
      <c r="E67" s="1"/>
      <c r="F67" s="1"/>
      <c r="G67" s="1"/>
      <c r="H67" s="1"/>
      <c r="I67" s="1"/>
      <c r="J67" s="1"/>
      <c r="K67" s="100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2.75" customHeight="1">
      <c r="A68" s="1"/>
      <c r="B68" s="113"/>
      <c r="C68" s="1"/>
      <c r="D68" s="1"/>
      <c r="E68" s="1"/>
      <c r="F68" s="1"/>
      <c r="G68" s="1"/>
      <c r="H68" s="1"/>
      <c r="I68" s="1"/>
      <c r="J68" s="1"/>
      <c r="K68" s="10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2.75" customHeight="1">
      <c r="A69" s="1"/>
      <c r="B69" s="113"/>
      <c r="C69" s="1"/>
      <c r="D69" s="1"/>
      <c r="E69" s="1"/>
      <c r="F69" s="1"/>
      <c r="G69" s="1"/>
      <c r="H69" s="1"/>
      <c r="I69" s="1"/>
      <c r="J69" s="1"/>
      <c r="K69" s="10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2.75" customHeight="1">
      <c r="A70" s="1"/>
      <c r="B70" s="113"/>
      <c r="C70" s="1"/>
      <c r="D70" s="1"/>
      <c r="E70" s="1"/>
      <c r="F70" s="1"/>
      <c r="G70" s="1"/>
      <c r="H70" s="1"/>
      <c r="I70" s="1"/>
      <c r="J70" s="1"/>
      <c r="K70" s="100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2.75" customHeight="1">
      <c r="A71" s="1"/>
      <c r="B71" s="113"/>
      <c r="C71" s="1"/>
      <c r="D71" s="1"/>
      <c r="E71" s="1"/>
      <c r="F71" s="1"/>
      <c r="G71" s="1"/>
      <c r="H71" s="1"/>
      <c r="I71" s="1"/>
      <c r="J71" s="1"/>
      <c r="K71" s="10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2.75" customHeight="1">
      <c r="A72" s="1"/>
      <c r="B72" s="113"/>
      <c r="C72" s="1"/>
      <c r="D72" s="1"/>
      <c r="E72" s="1"/>
      <c r="F72" s="1"/>
      <c r="G72" s="1"/>
      <c r="H72" s="1"/>
      <c r="I72" s="1"/>
      <c r="J72" s="1"/>
      <c r="K72" s="100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2.75" customHeight="1">
      <c r="A73" s="1"/>
      <c r="B73" s="113"/>
      <c r="C73" s="1"/>
      <c r="D73" s="1"/>
      <c r="E73" s="1"/>
      <c r="F73" s="1"/>
      <c r="G73" s="1"/>
      <c r="H73" s="1"/>
      <c r="I73" s="1"/>
      <c r="J73" s="1"/>
      <c r="K73" s="10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2.75" customHeight="1">
      <c r="A74" s="1"/>
      <c r="B74" s="113"/>
      <c r="C74" s="1"/>
      <c r="D74" s="1"/>
      <c r="E74" s="1"/>
      <c r="F74" s="1"/>
      <c r="G74" s="1"/>
      <c r="H74" s="1"/>
      <c r="I74" s="1"/>
      <c r="J74" s="1"/>
      <c r="K74" s="10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2.75" customHeight="1">
      <c r="A75" s="1"/>
      <c r="B75" s="113"/>
      <c r="C75" s="1"/>
      <c r="D75" s="1"/>
      <c r="E75" s="1"/>
      <c r="F75" s="1"/>
      <c r="G75" s="1"/>
      <c r="H75" s="1"/>
      <c r="I75" s="1"/>
      <c r="J75" s="1"/>
      <c r="K75" s="100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2.75" customHeight="1">
      <c r="A76" s="1"/>
      <c r="B76" s="113"/>
      <c r="C76" s="1"/>
      <c r="D76" s="1"/>
      <c r="E76" s="1"/>
      <c r="F76" s="1"/>
      <c r="G76" s="1"/>
      <c r="H76" s="1"/>
      <c r="I76" s="1"/>
      <c r="J76" s="1"/>
      <c r="K76" s="100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2.75" customHeight="1">
      <c r="A77" s="1"/>
      <c r="B77" s="113"/>
      <c r="C77" s="1"/>
      <c r="D77" s="1"/>
      <c r="E77" s="1"/>
      <c r="F77" s="1"/>
      <c r="G77" s="1"/>
      <c r="H77" s="1"/>
      <c r="I77" s="1"/>
      <c r="J77" s="1"/>
      <c r="K77" s="100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2.75" customHeight="1">
      <c r="A78" s="1"/>
      <c r="B78" s="113"/>
      <c r="C78" s="1"/>
      <c r="D78" s="1"/>
      <c r="E78" s="1"/>
      <c r="F78" s="1"/>
      <c r="G78" s="1"/>
      <c r="H78" s="1"/>
      <c r="I78" s="1"/>
      <c r="J78" s="1"/>
      <c r="K78" s="10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2.75" customHeight="1">
      <c r="A79" s="1"/>
      <c r="B79" s="113"/>
      <c r="C79" s="1"/>
      <c r="D79" s="1"/>
      <c r="E79" s="1"/>
      <c r="F79" s="1"/>
      <c r="G79" s="1"/>
      <c r="H79" s="1"/>
      <c r="I79" s="1"/>
      <c r="J79" s="1"/>
      <c r="K79" s="10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2.75" customHeight="1">
      <c r="A80" s="1"/>
      <c r="B80" s="113"/>
      <c r="C80" s="1"/>
      <c r="D80" s="1"/>
      <c r="E80" s="1"/>
      <c r="F80" s="1"/>
      <c r="G80" s="1"/>
      <c r="H80" s="1"/>
      <c r="I80" s="1"/>
      <c r="J80" s="1"/>
      <c r="K80" s="100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2.75" customHeight="1">
      <c r="A81" s="1"/>
      <c r="B81" s="113"/>
      <c r="C81" s="1"/>
      <c r="D81" s="1"/>
      <c r="E81" s="1"/>
      <c r="F81" s="1"/>
      <c r="G81" s="1"/>
      <c r="H81" s="1"/>
      <c r="I81" s="1"/>
      <c r="J81" s="1"/>
      <c r="K81" s="100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2.75" customHeight="1">
      <c r="A82" s="1"/>
      <c r="B82" s="113"/>
      <c r="C82" s="1"/>
      <c r="D82" s="1"/>
      <c r="E82" s="1"/>
      <c r="F82" s="1"/>
      <c r="G82" s="1"/>
      <c r="H82" s="1"/>
      <c r="I82" s="1"/>
      <c r="J82" s="1"/>
      <c r="K82" s="100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2.75" customHeight="1">
      <c r="A83" s="1"/>
      <c r="B83" s="113"/>
      <c r="C83" s="1"/>
      <c r="D83" s="1"/>
      <c r="E83" s="1"/>
      <c r="F83" s="1"/>
      <c r="G83" s="1"/>
      <c r="H83" s="1"/>
      <c r="I83" s="1"/>
      <c r="J83" s="1"/>
      <c r="K83" s="100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2.75" customHeight="1">
      <c r="A84" s="1"/>
      <c r="B84" s="113"/>
      <c r="C84" s="1"/>
      <c r="D84" s="1"/>
      <c r="E84" s="1"/>
      <c r="F84" s="1"/>
      <c r="G84" s="1"/>
      <c r="H84" s="1"/>
      <c r="I84" s="1"/>
      <c r="J84" s="1"/>
      <c r="K84" s="100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2.75" customHeight="1">
      <c r="A85" s="1"/>
      <c r="B85" s="113"/>
      <c r="C85" s="1"/>
      <c r="D85" s="1"/>
      <c r="E85" s="1"/>
      <c r="F85" s="1"/>
      <c r="G85" s="1"/>
      <c r="H85" s="1"/>
      <c r="I85" s="1"/>
      <c r="J85" s="1"/>
      <c r="K85" s="100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2.75" customHeight="1">
      <c r="A86" s="1"/>
      <c r="B86" s="113"/>
      <c r="C86" s="1"/>
      <c r="D86" s="1"/>
      <c r="E86" s="1"/>
      <c r="F86" s="1"/>
      <c r="G86" s="1"/>
      <c r="H86" s="1"/>
      <c r="I86" s="1"/>
      <c r="J86" s="1"/>
      <c r="K86" s="100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2.75" customHeight="1">
      <c r="A87" s="1"/>
      <c r="B87" s="113"/>
      <c r="C87" s="1"/>
      <c r="D87" s="1"/>
      <c r="E87" s="1"/>
      <c r="F87" s="1"/>
      <c r="G87" s="1"/>
      <c r="H87" s="1"/>
      <c r="I87" s="1"/>
      <c r="J87" s="1"/>
      <c r="K87" s="100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2.75" customHeight="1">
      <c r="A88" s="1"/>
      <c r="B88" s="113"/>
      <c r="C88" s="1"/>
      <c r="D88" s="1"/>
      <c r="E88" s="1"/>
      <c r="F88" s="1"/>
      <c r="G88" s="1"/>
      <c r="H88" s="1"/>
      <c r="I88" s="1"/>
      <c r="J88" s="1"/>
      <c r="K88" s="100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2.75" customHeight="1">
      <c r="A89" s="1"/>
      <c r="B89" s="113"/>
      <c r="C89" s="1"/>
      <c r="D89" s="1"/>
      <c r="E89" s="1"/>
      <c r="F89" s="1"/>
      <c r="G89" s="1"/>
      <c r="H89" s="1"/>
      <c r="I89" s="1"/>
      <c r="J89" s="1"/>
      <c r="K89" s="100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2.75" customHeight="1">
      <c r="A90" s="1"/>
      <c r="B90" s="113"/>
      <c r="C90" s="1"/>
      <c r="D90" s="1"/>
      <c r="E90" s="1"/>
      <c r="F90" s="1"/>
      <c r="G90" s="1"/>
      <c r="H90" s="1"/>
      <c r="I90" s="1"/>
      <c r="J90" s="1"/>
      <c r="K90" s="100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2.75" customHeight="1">
      <c r="A91" s="1"/>
      <c r="B91" s="113"/>
      <c r="C91" s="1"/>
      <c r="D91" s="1"/>
      <c r="E91" s="1"/>
      <c r="F91" s="1"/>
      <c r="G91" s="1"/>
      <c r="H91" s="1"/>
      <c r="I91" s="1"/>
      <c r="J91" s="1"/>
      <c r="K91" s="100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2.75" customHeight="1">
      <c r="A92" s="1"/>
      <c r="B92" s="113"/>
      <c r="C92" s="1"/>
      <c r="D92" s="1"/>
      <c r="E92" s="1"/>
      <c r="F92" s="1"/>
      <c r="G92" s="1"/>
      <c r="H92" s="1"/>
      <c r="I92" s="1"/>
      <c r="J92" s="1"/>
      <c r="K92" s="100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2.75" customHeight="1">
      <c r="A93" s="1"/>
      <c r="B93" s="113"/>
      <c r="C93" s="1"/>
      <c r="D93" s="1"/>
      <c r="E93" s="1"/>
      <c r="F93" s="1"/>
      <c r="G93" s="1"/>
      <c r="H93" s="1"/>
      <c r="I93" s="1"/>
      <c r="J93" s="1"/>
      <c r="K93" s="100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2.75" customHeight="1">
      <c r="A94" s="1"/>
      <c r="B94" s="113"/>
      <c r="C94" s="1"/>
      <c r="D94" s="1"/>
      <c r="E94" s="1"/>
      <c r="F94" s="1"/>
      <c r="G94" s="1"/>
      <c r="H94" s="1"/>
      <c r="I94" s="1"/>
      <c r="J94" s="1"/>
      <c r="K94" s="100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2.75" customHeight="1">
      <c r="A95" s="1"/>
      <c r="B95" s="113"/>
      <c r="C95" s="1"/>
      <c r="D95" s="1"/>
      <c r="E95" s="1"/>
      <c r="F95" s="1"/>
      <c r="G95" s="1"/>
      <c r="H95" s="1"/>
      <c r="I95" s="1"/>
      <c r="J95" s="1"/>
      <c r="K95" s="100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2.75" customHeight="1">
      <c r="A96" s="1"/>
      <c r="B96" s="113"/>
      <c r="C96" s="1"/>
      <c r="D96" s="1"/>
      <c r="E96" s="1"/>
      <c r="F96" s="1"/>
      <c r="G96" s="1"/>
      <c r="H96" s="1"/>
      <c r="I96" s="1"/>
      <c r="J96" s="1"/>
      <c r="K96" s="100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2.75" customHeight="1">
      <c r="A97" s="1"/>
      <c r="B97" s="113"/>
      <c r="C97" s="1"/>
      <c r="D97" s="1"/>
      <c r="E97" s="1"/>
      <c r="F97" s="1"/>
      <c r="G97" s="1"/>
      <c r="H97" s="1"/>
      <c r="I97" s="1"/>
      <c r="J97" s="1"/>
      <c r="K97" s="100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2.75" customHeight="1">
      <c r="A98" s="1"/>
      <c r="B98" s="113"/>
      <c r="C98" s="1"/>
      <c r="D98" s="1"/>
      <c r="E98" s="1"/>
      <c r="F98" s="1"/>
      <c r="G98" s="1"/>
      <c r="H98" s="1"/>
      <c r="I98" s="1"/>
      <c r="J98" s="1"/>
      <c r="K98" s="100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2.75" customHeight="1">
      <c r="A99" s="1"/>
      <c r="B99" s="113"/>
      <c r="C99" s="1"/>
      <c r="D99" s="1"/>
      <c r="E99" s="1"/>
      <c r="F99" s="1"/>
      <c r="G99" s="1"/>
      <c r="H99" s="1"/>
      <c r="I99" s="1"/>
      <c r="J99" s="1"/>
      <c r="K99" s="100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2.75" customHeight="1">
      <c r="A100" s="1"/>
      <c r="B100" s="113"/>
      <c r="C100" s="1"/>
      <c r="D100" s="1"/>
      <c r="E100" s="1"/>
      <c r="F100" s="1"/>
      <c r="G100" s="1"/>
      <c r="H100" s="1"/>
      <c r="I100" s="1"/>
      <c r="J100" s="1"/>
      <c r="K100" s="100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2.75" customHeight="1">
      <c r="A101" s="1"/>
      <c r="B101" s="113"/>
      <c r="C101" s="1"/>
      <c r="D101" s="1"/>
      <c r="E101" s="1"/>
      <c r="F101" s="1"/>
      <c r="G101" s="1"/>
      <c r="H101" s="1"/>
      <c r="I101" s="1"/>
      <c r="J101" s="1"/>
      <c r="K101" s="100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2.75" customHeight="1">
      <c r="A102" s="1"/>
      <c r="B102" s="113"/>
      <c r="C102" s="1"/>
      <c r="D102" s="1"/>
      <c r="E102" s="1"/>
      <c r="F102" s="1"/>
      <c r="G102" s="1"/>
      <c r="H102" s="1"/>
      <c r="I102" s="1"/>
      <c r="J102" s="1"/>
      <c r="K102" s="100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2.75" customHeight="1">
      <c r="A103" s="1"/>
      <c r="B103" s="113"/>
      <c r="C103" s="1"/>
      <c r="D103" s="1"/>
      <c r="E103" s="1"/>
      <c r="F103" s="1"/>
      <c r="G103" s="1"/>
      <c r="H103" s="1"/>
      <c r="I103" s="1"/>
      <c r="J103" s="1"/>
      <c r="K103" s="100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2.75" customHeight="1">
      <c r="A104" s="1"/>
      <c r="B104" s="113"/>
      <c r="C104" s="1"/>
      <c r="D104" s="1"/>
      <c r="E104" s="1"/>
      <c r="F104" s="1"/>
      <c r="G104" s="1"/>
      <c r="H104" s="1"/>
      <c r="I104" s="1"/>
      <c r="J104" s="1"/>
      <c r="K104" s="100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2.75" customHeight="1">
      <c r="A105" s="1"/>
      <c r="B105" s="113"/>
      <c r="C105" s="1"/>
      <c r="D105" s="1"/>
      <c r="E105" s="1"/>
      <c r="F105" s="1"/>
      <c r="G105" s="1"/>
      <c r="H105" s="1"/>
      <c r="I105" s="1"/>
      <c r="J105" s="1"/>
      <c r="K105" s="100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2.75" customHeight="1">
      <c r="A106" s="1"/>
      <c r="B106" s="113"/>
      <c r="C106" s="1"/>
      <c r="D106" s="1"/>
      <c r="E106" s="1"/>
      <c r="F106" s="1"/>
      <c r="G106" s="1"/>
      <c r="H106" s="1"/>
      <c r="I106" s="1"/>
      <c r="J106" s="1"/>
      <c r="K106" s="100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2.75" customHeight="1">
      <c r="A107" s="1"/>
      <c r="B107" s="113"/>
      <c r="C107" s="1"/>
      <c r="D107" s="1"/>
      <c r="E107" s="1"/>
      <c r="F107" s="1"/>
      <c r="G107" s="1"/>
      <c r="H107" s="1"/>
      <c r="I107" s="1"/>
      <c r="J107" s="1"/>
      <c r="K107" s="100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2.75" customHeight="1">
      <c r="A108" s="1"/>
      <c r="B108" s="113"/>
      <c r="C108" s="1"/>
      <c r="D108" s="1"/>
      <c r="E108" s="1"/>
      <c r="F108" s="1"/>
      <c r="G108" s="1"/>
      <c r="H108" s="1"/>
      <c r="I108" s="1"/>
      <c r="J108" s="1"/>
      <c r="K108" s="100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2.75" customHeight="1">
      <c r="A109" s="1"/>
      <c r="B109" s="113"/>
      <c r="C109" s="1"/>
      <c r="D109" s="1"/>
      <c r="E109" s="1"/>
      <c r="F109" s="1"/>
      <c r="G109" s="1"/>
      <c r="H109" s="1"/>
      <c r="I109" s="1"/>
      <c r="J109" s="1"/>
      <c r="K109" s="100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2.75" customHeight="1">
      <c r="A110" s="1"/>
      <c r="B110" s="113"/>
      <c r="C110" s="1"/>
      <c r="D110" s="1"/>
      <c r="E110" s="1"/>
      <c r="F110" s="1"/>
      <c r="G110" s="1"/>
      <c r="H110" s="1"/>
      <c r="I110" s="1"/>
      <c r="J110" s="1"/>
      <c r="K110" s="100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2.75" customHeight="1">
      <c r="A111" s="1"/>
      <c r="B111" s="113"/>
      <c r="C111" s="1"/>
      <c r="D111" s="1"/>
      <c r="E111" s="1"/>
      <c r="F111" s="1"/>
      <c r="G111" s="1"/>
      <c r="H111" s="1"/>
      <c r="I111" s="1"/>
      <c r="J111" s="1"/>
      <c r="K111" s="100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2.75" customHeight="1">
      <c r="A112" s="1"/>
      <c r="B112" s="113"/>
      <c r="C112" s="1"/>
      <c r="D112" s="1"/>
      <c r="E112" s="1"/>
      <c r="F112" s="1"/>
      <c r="G112" s="1"/>
      <c r="H112" s="1"/>
      <c r="I112" s="1"/>
      <c r="J112" s="1"/>
      <c r="K112" s="100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2.75" customHeight="1">
      <c r="A113" s="1"/>
      <c r="B113" s="113"/>
      <c r="C113" s="1"/>
      <c r="D113" s="1"/>
      <c r="E113" s="1"/>
      <c r="F113" s="1"/>
      <c r="G113" s="1"/>
      <c r="H113" s="1"/>
      <c r="I113" s="1"/>
      <c r="J113" s="1"/>
      <c r="K113" s="100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2.75" customHeight="1">
      <c r="A114" s="1"/>
      <c r="B114" s="113"/>
      <c r="C114" s="1"/>
      <c r="D114" s="1"/>
      <c r="E114" s="1"/>
      <c r="F114" s="1"/>
      <c r="G114" s="1"/>
      <c r="H114" s="1"/>
      <c r="I114" s="1"/>
      <c r="J114" s="1"/>
      <c r="K114" s="100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2.75" customHeight="1">
      <c r="A115" s="1"/>
      <c r="B115" s="113"/>
      <c r="C115" s="1"/>
      <c r="D115" s="1"/>
      <c r="E115" s="1"/>
      <c r="F115" s="1"/>
      <c r="G115" s="1"/>
      <c r="H115" s="1"/>
      <c r="I115" s="1"/>
      <c r="J115" s="1"/>
      <c r="K115" s="100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2.75" customHeight="1">
      <c r="A116" s="1"/>
      <c r="B116" s="113"/>
      <c r="C116" s="1"/>
      <c r="D116" s="1"/>
      <c r="E116" s="1"/>
      <c r="F116" s="1"/>
      <c r="G116" s="1"/>
      <c r="H116" s="1"/>
      <c r="I116" s="1"/>
      <c r="J116" s="1"/>
      <c r="K116" s="100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2.75" customHeight="1">
      <c r="A117" s="1"/>
      <c r="B117" s="113"/>
      <c r="C117" s="1"/>
      <c r="D117" s="1"/>
      <c r="E117" s="1"/>
      <c r="F117" s="1"/>
      <c r="G117" s="1"/>
      <c r="H117" s="1"/>
      <c r="I117" s="1"/>
      <c r="J117" s="1"/>
      <c r="K117" s="100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2.75" customHeight="1">
      <c r="A118" s="1"/>
      <c r="B118" s="113"/>
      <c r="C118" s="1"/>
      <c r="D118" s="1"/>
      <c r="E118" s="1"/>
      <c r="F118" s="1"/>
      <c r="G118" s="1"/>
      <c r="H118" s="1"/>
      <c r="I118" s="1"/>
      <c r="J118" s="1"/>
      <c r="K118" s="100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2.75" customHeight="1">
      <c r="A119" s="1"/>
      <c r="B119" s="113"/>
      <c r="C119" s="1"/>
      <c r="D119" s="1"/>
      <c r="E119" s="1"/>
      <c r="F119" s="1"/>
      <c r="G119" s="1"/>
      <c r="H119" s="1"/>
      <c r="I119" s="1"/>
      <c r="J119" s="1"/>
      <c r="K119" s="100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2.75" customHeight="1">
      <c r="A120" s="1"/>
      <c r="B120" s="113"/>
      <c r="C120" s="1"/>
      <c r="D120" s="1"/>
      <c r="E120" s="1"/>
      <c r="F120" s="1"/>
      <c r="G120" s="1"/>
      <c r="H120" s="1"/>
      <c r="I120" s="1"/>
      <c r="J120" s="1"/>
      <c r="K120" s="100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2.75" customHeight="1">
      <c r="A121" s="1"/>
      <c r="B121" s="113"/>
      <c r="C121" s="1"/>
      <c r="D121" s="1"/>
      <c r="E121" s="1"/>
      <c r="F121" s="1"/>
      <c r="G121" s="1"/>
      <c r="H121" s="1"/>
      <c r="I121" s="1"/>
      <c r="J121" s="1"/>
      <c r="K121" s="100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2.75" customHeight="1">
      <c r="A122" s="1"/>
      <c r="B122" s="113"/>
      <c r="C122" s="1"/>
      <c r="D122" s="1"/>
      <c r="E122" s="1"/>
      <c r="F122" s="1"/>
      <c r="G122" s="1"/>
      <c r="H122" s="1"/>
      <c r="I122" s="1"/>
      <c r="J122" s="1"/>
      <c r="K122" s="100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2.75" customHeight="1">
      <c r="A123" s="1"/>
      <c r="B123" s="113"/>
      <c r="C123" s="1"/>
      <c r="D123" s="1"/>
      <c r="E123" s="1"/>
      <c r="F123" s="1"/>
      <c r="G123" s="1"/>
      <c r="H123" s="1"/>
      <c r="I123" s="1"/>
      <c r="J123" s="1"/>
      <c r="K123" s="100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2.75" customHeight="1">
      <c r="A124" s="1"/>
      <c r="B124" s="113"/>
      <c r="C124" s="1"/>
      <c r="D124" s="1"/>
      <c r="E124" s="1"/>
      <c r="F124" s="1"/>
      <c r="G124" s="1"/>
      <c r="H124" s="1"/>
      <c r="I124" s="1"/>
      <c r="J124" s="1"/>
      <c r="K124" s="100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2.75" customHeight="1">
      <c r="A125" s="1"/>
      <c r="B125" s="113"/>
      <c r="C125" s="1"/>
      <c r="D125" s="1"/>
      <c r="E125" s="1"/>
      <c r="F125" s="1"/>
      <c r="G125" s="1"/>
      <c r="H125" s="1"/>
      <c r="I125" s="1"/>
      <c r="J125" s="1"/>
      <c r="K125" s="100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2.75" customHeight="1">
      <c r="A126" s="1"/>
      <c r="B126" s="113"/>
      <c r="C126" s="1"/>
      <c r="D126" s="1"/>
      <c r="E126" s="1"/>
      <c r="F126" s="1"/>
      <c r="G126" s="1"/>
      <c r="H126" s="1"/>
      <c r="I126" s="1"/>
      <c r="J126" s="1"/>
      <c r="K126" s="100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2.75" customHeight="1">
      <c r="A127" s="1"/>
      <c r="B127" s="113"/>
      <c r="C127" s="1"/>
      <c r="D127" s="1"/>
      <c r="E127" s="1"/>
      <c r="F127" s="1"/>
      <c r="G127" s="1"/>
      <c r="H127" s="1"/>
      <c r="I127" s="1"/>
      <c r="J127" s="1"/>
      <c r="K127" s="100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2.75" customHeight="1">
      <c r="A128" s="1"/>
      <c r="B128" s="113"/>
      <c r="C128" s="1"/>
      <c r="D128" s="1"/>
      <c r="E128" s="1"/>
      <c r="F128" s="1"/>
      <c r="G128" s="1"/>
      <c r="H128" s="1"/>
      <c r="I128" s="1"/>
      <c r="J128" s="1"/>
      <c r="K128" s="100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2.75" customHeight="1">
      <c r="A129" s="1"/>
      <c r="B129" s="113"/>
      <c r="C129" s="1"/>
      <c r="D129" s="1"/>
      <c r="E129" s="1"/>
      <c r="F129" s="1"/>
      <c r="G129" s="1"/>
      <c r="H129" s="1"/>
      <c r="I129" s="1"/>
      <c r="J129" s="1"/>
      <c r="K129" s="100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2.75" customHeight="1">
      <c r="A130" s="1"/>
      <c r="B130" s="113"/>
      <c r="C130" s="1"/>
      <c r="D130" s="1"/>
      <c r="E130" s="1"/>
      <c r="F130" s="1"/>
      <c r="G130" s="1"/>
      <c r="H130" s="1"/>
      <c r="I130" s="1"/>
      <c r="J130" s="1"/>
      <c r="K130" s="100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2.75" customHeight="1">
      <c r="A131" s="1"/>
      <c r="B131" s="113"/>
      <c r="C131" s="1"/>
      <c r="D131" s="1"/>
      <c r="E131" s="1"/>
      <c r="F131" s="1"/>
      <c r="G131" s="1"/>
      <c r="H131" s="1"/>
      <c r="I131" s="1"/>
      <c r="J131" s="1"/>
      <c r="K131" s="100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2.75" customHeight="1">
      <c r="A132" s="1"/>
      <c r="B132" s="113"/>
      <c r="C132" s="1"/>
      <c r="D132" s="1"/>
      <c r="E132" s="1"/>
      <c r="F132" s="1"/>
      <c r="G132" s="1"/>
      <c r="H132" s="1"/>
      <c r="I132" s="1"/>
      <c r="J132" s="1"/>
      <c r="K132" s="100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2.75" customHeight="1">
      <c r="A133" s="1"/>
      <c r="B133" s="113"/>
      <c r="C133" s="1"/>
      <c r="D133" s="1"/>
      <c r="E133" s="1"/>
      <c r="F133" s="1"/>
      <c r="G133" s="1"/>
      <c r="H133" s="1"/>
      <c r="I133" s="1"/>
      <c r="J133" s="1"/>
      <c r="K133" s="100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2.75" customHeight="1">
      <c r="A134" s="1"/>
      <c r="B134" s="113"/>
      <c r="C134" s="1"/>
      <c r="D134" s="1"/>
      <c r="E134" s="1"/>
      <c r="F134" s="1"/>
      <c r="G134" s="1"/>
      <c r="H134" s="1"/>
      <c r="I134" s="1"/>
      <c r="J134" s="1"/>
      <c r="K134" s="100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2.75" customHeight="1">
      <c r="A135" s="1"/>
      <c r="B135" s="113"/>
      <c r="C135" s="1"/>
      <c r="D135" s="1"/>
      <c r="E135" s="1"/>
      <c r="F135" s="1"/>
      <c r="G135" s="1"/>
      <c r="H135" s="1"/>
      <c r="I135" s="1"/>
      <c r="J135" s="1"/>
      <c r="K135" s="100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2.75" customHeight="1">
      <c r="A136" s="1"/>
      <c r="B136" s="113"/>
      <c r="C136" s="1"/>
      <c r="D136" s="1"/>
      <c r="E136" s="1"/>
      <c r="F136" s="1"/>
      <c r="G136" s="1"/>
      <c r="H136" s="1"/>
      <c r="I136" s="1"/>
      <c r="J136" s="1"/>
      <c r="K136" s="100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2.75" customHeight="1">
      <c r="A137" s="1"/>
      <c r="B137" s="113"/>
      <c r="C137" s="1"/>
      <c r="D137" s="1"/>
      <c r="E137" s="1"/>
      <c r="F137" s="1"/>
      <c r="G137" s="1"/>
      <c r="H137" s="1"/>
      <c r="I137" s="1"/>
      <c r="J137" s="1"/>
      <c r="K137" s="100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2.75" customHeight="1">
      <c r="A138" s="1"/>
      <c r="B138" s="113"/>
      <c r="C138" s="1"/>
      <c r="D138" s="1"/>
      <c r="E138" s="1"/>
      <c r="F138" s="1"/>
      <c r="G138" s="1"/>
      <c r="H138" s="1"/>
      <c r="I138" s="1"/>
      <c r="J138" s="1"/>
      <c r="K138" s="100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2.75" customHeight="1">
      <c r="A139" s="1"/>
      <c r="B139" s="113"/>
      <c r="C139" s="1"/>
      <c r="D139" s="1"/>
      <c r="E139" s="1"/>
      <c r="F139" s="1"/>
      <c r="G139" s="1"/>
      <c r="H139" s="1"/>
      <c r="I139" s="1"/>
      <c r="J139" s="1"/>
      <c r="K139" s="100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2.75" customHeight="1">
      <c r="A140" s="1"/>
      <c r="B140" s="113"/>
      <c r="C140" s="1"/>
      <c r="D140" s="1"/>
      <c r="E140" s="1"/>
      <c r="F140" s="1"/>
      <c r="G140" s="1"/>
      <c r="H140" s="1"/>
      <c r="I140" s="1"/>
      <c r="J140" s="1"/>
      <c r="K140" s="100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2.75" customHeight="1">
      <c r="A141" s="1"/>
      <c r="B141" s="113"/>
      <c r="C141" s="1"/>
      <c r="D141" s="1"/>
      <c r="E141" s="1"/>
      <c r="F141" s="1"/>
      <c r="G141" s="1"/>
      <c r="H141" s="1"/>
      <c r="I141" s="1"/>
      <c r="J141" s="1"/>
      <c r="K141" s="100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2.75" customHeight="1">
      <c r="A142" s="1"/>
      <c r="B142" s="113"/>
      <c r="C142" s="1"/>
      <c r="D142" s="1"/>
      <c r="E142" s="1"/>
      <c r="F142" s="1"/>
      <c r="G142" s="1"/>
      <c r="H142" s="1"/>
      <c r="I142" s="1"/>
      <c r="J142" s="1"/>
      <c r="K142" s="100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2.75" customHeight="1">
      <c r="A143" s="1"/>
      <c r="B143" s="113"/>
      <c r="C143" s="1"/>
      <c r="D143" s="1"/>
      <c r="E143" s="1"/>
      <c r="F143" s="1"/>
      <c r="G143" s="1"/>
      <c r="H143" s="1"/>
      <c r="I143" s="1"/>
      <c r="J143" s="1"/>
      <c r="K143" s="100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2.75" customHeight="1">
      <c r="A144" s="1"/>
      <c r="B144" s="113"/>
      <c r="C144" s="1"/>
      <c r="D144" s="1"/>
      <c r="E144" s="1"/>
      <c r="F144" s="1"/>
      <c r="G144" s="1"/>
      <c r="H144" s="1"/>
      <c r="I144" s="1"/>
      <c r="J144" s="1"/>
      <c r="K144" s="100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2.75" customHeight="1">
      <c r="A145" s="1"/>
      <c r="B145" s="113"/>
      <c r="C145" s="1"/>
      <c r="D145" s="1"/>
      <c r="E145" s="1"/>
      <c r="F145" s="1"/>
      <c r="G145" s="1"/>
      <c r="H145" s="1"/>
      <c r="I145" s="1"/>
      <c r="J145" s="1"/>
      <c r="K145" s="100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2.75" customHeight="1">
      <c r="A146" s="1"/>
      <c r="B146" s="113"/>
      <c r="C146" s="1"/>
      <c r="D146" s="1"/>
      <c r="E146" s="1"/>
      <c r="F146" s="1"/>
      <c r="G146" s="1"/>
      <c r="H146" s="1"/>
      <c r="I146" s="1"/>
      <c r="J146" s="1"/>
      <c r="K146" s="100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2.75" customHeight="1">
      <c r="A147" s="1"/>
      <c r="B147" s="113"/>
      <c r="C147" s="1"/>
      <c r="D147" s="1"/>
      <c r="E147" s="1"/>
      <c r="F147" s="1"/>
      <c r="G147" s="1"/>
      <c r="H147" s="1"/>
      <c r="I147" s="1"/>
      <c r="J147" s="1"/>
      <c r="K147" s="100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2.75" customHeight="1">
      <c r="A148" s="1"/>
      <c r="B148" s="113"/>
      <c r="C148" s="1"/>
      <c r="D148" s="1"/>
      <c r="E148" s="1"/>
      <c r="F148" s="1"/>
      <c r="G148" s="1"/>
      <c r="H148" s="1"/>
      <c r="I148" s="1"/>
      <c r="J148" s="1"/>
      <c r="K148" s="100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2.75" customHeight="1">
      <c r="A149" s="1"/>
      <c r="B149" s="113"/>
      <c r="C149" s="1"/>
      <c r="D149" s="1"/>
      <c r="E149" s="1"/>
      <c r="F149" s="1"/>
      <c r="G149" s="1"/>
      <c r="H149" s="1"/>
      <c r="I149" s="1"/>
      <c r="J149" s="1"/>
      <c r="K149" s="100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2.75" customHeight="1">
      <c r="A150" s="1"/>
      <c r="B150" s="113"/>
      <c r="C150" s="1"/>
      <c r="D150" s="1"/>
      <c r="E150" s="1"/>
      <c r="F150" s="1"/>
      <c r="G150" s="1"/>
      <c r="H150" s="1"/>
      <c r="I150" s="1"/>
      <c r="J150" s="1"/>
      <c r="K150" s="100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2.75" customHeight="1">
      <c r="A151" s="1"/>
      <c r="B151" s="113"/>
      <c r="C151" s="1"/>
      <c r="D151" s="1"/>
      <c r="E151" s="1"/>
      <c r="F151" s="1"/>
      <c r="G151" s="1"/>
      <c r="H151" s="1"/>
      <c r="I151" s="1"/>
      <c r="J151" s="1"/>
      <c r="K151" s="100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2.75" customHeight="1">
      <c r="A152" s="1"/>
      <c r="B152" s="113"/>
      <c r="C152" s="1"/>
      <c r="D152" s="1"/>
      <c r="E152" s="1"/>
      <c r="F152" s="1"/>
      <c r="G152" s="1"/>
      <c r="H152" s="1"/>
      <c r="I152" s="1"/>
      <c r="J152" s="1"/>
      <c r="K152" s="100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2.75" customHeight="1">
      <c r="A153" s="1"/>
      <c r="B153" s="113"/>
      <c r="C153" s="1"/>
      <c r="D153" s="1"/>
      <c r="E153" s="1"/>
      <c r="F153" s="1"/>
      <c r="G153" s="1"/>
      <c r="H153" s="1"/>
      <c r="I153" s="1"/>
      <c r="J153" s="1"/>
      <c r="K153" s="100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2.75" customHeight="1">
      <c r="A154" s="1"/>
      <c r="B154" s="113"/>
      <c r="C154" s="1"/>
      <c r="D154" s="1"/>
      <c r="E154" s="1"/>
      <c r="F154" s="1"/>
      <c r="G154" s="1"/>
      <c r="H154" s="1"/>
      <c r="I154" s="1"/>
      <c r="J154" s="1"/>
      <c r="K154" s="100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2.75" customHeight="1">
      <c r="A155" s="1"/>
      <c r="B155" s="113"/>
      <c r="C155" s="1"/>
      <c r="D155" s="1"/>
      <c r="E155" s="1"/>
      <c r="F155" s="1"/>
      <c r="G155" s="1"/>
      <c r="H155" s="1"/>
      <c r="I155" s="1"/>
      <c r="J155" s="1"/>
      <c r="K155" s="100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2.75" customHeight="1">
      <c r="A156" s="1"/>
      <c r="B156" s="113"/>
      <c r="C156" s="1"/>
      <c r="D156" s="1"/>
      <c r="E156" s="1"/>
      <c r="F156" s="1"/>
      <c r="G156" s="1"/>
      <c r="H156" s="1"/>
      <c r="I156" s="1"/>
      <c r="J156" s="1"/>
      <c r="K156" s="100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2.75" customHeight="1">
      <c r="A157" s="1"/>
      <c r="B157" s="113"/>
      <c r="C157" s="1"/>
      <c r="D157" s="1"/>
      <c r="E157" s="1"/>
      <c r="F157" s="1"/>
      <c r="G157" s="1"/>
      <c r="H157" s="1"/>
      <c r="I157" s="1"/>
      <c r="J157" s="1"/>
      <c r="K157" s="100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2.75" customHeight="1">
      <c r="A158" s="1"/>
      <c r="B158" s="113"/>
      <c r="C158" s="1"/>
      <c r="D158" s="1"/>
      <c r="E158" s="1"/>
      <c r="F158" s="1"/>
      <c r="G158" s="1"/>
      <c r="H158" s="1"/>
      <c r="I158" s="1"/>
      <c r="J158" s="1"/>
      <c r="K158" s="100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2.75" customHeight="1">
      <c r="A159" s="1"/>
      <c r="B159" s="113"/>
      <c r="C159" s="1"/>
      <c r="D159" s="1"/>
      <c r="E159" s="1"/>
      <c r="F159" s="1"/>
      <c r="G159" s="1"/>
      <c r="H159" s="1"/>
      <c r="I159" s="1"/>
      <c r="J159" s="1"/>
      <c r="K159" s="100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2.75" customHeight="1">
      <c r="A160" s="1"/>
      <c r="B160" s="113"/>
      <c r="C160" s="1"/>
      <c r="D160" s="1"/>
      <c r="E160" s="1"/>
      <c r="F160" s="1"/>
      <c r="G160" s="1"/>
      <c r="H160" s="1"/>
      <c r="I160" s="1"/>
      <c r="J160" s="1"/>
      <c r="K160" s="100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2.75" customHeight="1">
      <c r="A161" s="1"/>
      <c r="B161" s="113"/>
      <c r="C161" s="1"/>
      <c r="D161" s="1"/>
      <c r="E161" s="1"/>
      <c r="F161" s="1"/>
      <c r="G161" s="1"/>
      <c r="H161" s="1"/>
      <c r="I161" s="1"/>
      <c r="J161" s="1"/>
      <c r="K161" s="100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2.75" customHeight="1">
      <c r="A162" s="1"/>
      <c r="B162" s="113"/>
      <c r="C162" s="1"/>
      <c r="D162" s="1"/>
      <c r="E162" s="1"/>
      <c r="F162" s="1"/>
      <c r="G162" s="1"/>
      <c r="H162" s="1"/>
      <c r="I162" s="1"/>
      <c r="J162" s="1"/>
      <c r="K162" s="100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2.75" customHeight="1">
      <c r="A163" s="1"/>
      <c r="B163" s="113"/>
      <c r="C163" s="1"/>
      <c r="D163" s="1"/>
      <c r="E163" s="1"/>
      <c r="F163" s="1"/>
      <c r="G163" s="1"/>
      <c r="H163" s="1"/>
      <c r="I163" s="1"/>
      <c r="J163" s="1"/>
      <c r="K163" s="100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2.75" customHeight="1">
      <c r="A164" s="1"/>
      <c r="B164" s="113"/>
      <c r="C164" s="1"/>
      <c r="D164" s="1"/>
      <c r="E164" s="1"/>
      <c r="F164" s="1"/>
      <c r="G164" s="1"/>
      <c r="H164" s="1"/>
      <c r="I164" s="1"/>
      <c r="J164" s="1"/>
      <c r="K164" s="100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2.75" customHeight="1">
      <c r="A165" s="1"/>
      <c r="B165" s="113"/>
      <c r="C165" s="1"/>
      <c r="D165" s="1"/>
      <c r="E165" s="1"/>
      <c r="F165" s="1"/>
      <c r="G165" s="1"/>
      <c r="H165" s="1"/>
      <c r="I165" s="1"/>
      <c r="J165" s="1"/>
      <c r="K165" s="100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2.75" customHeight="1">
      <c r="A166" s="1"/>
      <c r="B166" s="113"/>
      <c r="C166" s="1"/>
      <c r="D166" s="1"/>
      <c r="E166" s="1"/>
      <c r="F166" s="1"/>
      <c r="G166" s="1"/>
      <c r="H166" s="1"/>
      <c r="I166" s="1"/>
      <c r="J166" s="1"/>
      <c r="K166" s="100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2.75" customHeight="1">
      <c r="A167" s="1"/>
      <c r="B167" s="113"/>
      <c r="C167" s="1"/>
      <c r="D167" s="1"/>
      <c r="E167" s="1"/>
      <c r="F167" s="1"/>
      <c r="G167" s="1"/>
      <c r="H167" s="1"/>
      <c r="I167" s="1"/>
      <c r="J167" s="1"/>
      <c r="K167" s="100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2.75" customHeight="1">
      <c r="A168" s="1"/>
      <c r="B168" s="113"/>
      <c r="C168" s="1"/>
      <c r="D168" s="1"/>
      <c r="E168" s="1"/>
      <c r="F168" s="1"/>
      <c r="G168" s="1"/>
      <c r="H168" s="1"/>
      <c r="I168" s="1"/>
      <c r="J168" s="1"/>
      <c r="K168" s="100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2.75" customHeight="1">
      <c r="A169" s="1"/>
      <c r="B169" s="113"/>
      <c r="C169" s="1"/>
      <c r="D169" s="1"/>
      <c r="E169" s="1"/>
      <c r="F169" s="1"/>
      <c r="G169" s="1"/>
      <c r="H169" s="1"/>
      <c r="I169" s="1"/>
      <c r="J169" s="1"/>
      <c r="K169" s="100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2.75" customHeight="1">
      <c r="A170" s="1"/>
      <c r="B170" s="113"/>
      <c r="C170" s="1"/>
      <c r="D170" s="1"/>
      <c r="E170" s="1"/>
      <c r="F170" s="1"/>
      <c r="G170" s="1"/>
      <c r="H170" s="1"/>
      <c r="I170" s="1"/>
      <c r="J170" s="1"/>
      <c r="K170" s="100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2.75" customHeight="1">
      <c r="A171" s="1"/>
      <c r="B171" s="113"/>
      <c r="C171" s="1"/>
      <c r="D171" s="1"/>
      <c r="E171" s="1"/>
      <c r="F171" s="1"/>
      <c r="G171" s="1"/>
      <c r="H171" s="1"/>
      <c r="I171" s="1"/>
      <c r="J171" s="1"/>
      <c r="K171" s="100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2.75" customHeight="1">
      <c r="A172" s="1"/>
      <c r="B172" s="113"/>
      <c r="C172" s="1"/>
      <c r="D172" s="1"/>
      <c r="E172" s="1"/>
      <c r="F172" s="1"/>
      <c r="G172" s="1"/>
      <c r="H172" s="1"/>
      <c r="I172" s="1"/>
      <c r="J172" s="1"/>
      <c r="K172" s="100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2.75" customHeight="1">
      <c r="A173" s="1"/>
      <c r="B173" s="113"/>
      <c r="C173" s="1"/>
      <c r="D173" s="1"/>
      <c r="E173" s="1"/>
      <c r="F173" s="1"/>
      <c r="G173" s="1"/>
      <c r="H173" s="1"/>
      <c r="I173" s="1"/>
      <c r="J173" s="1"/>
      <c r="K173" s="100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2.75" customHeight="1">
      <c r="A174" s="1"/>
      <c r="B174" s="113"/>
      <c r="C174" s="1"/>
      <c r="D174" s="1"/>
      <c r="E174" s="1"/>
      <c r="F174" s="1"/>
      <c r="G174" s="1"/>
      <c r="H174" s="1"/>
      <c r="I174" s="1"/>
      <c r="J174" s="1"/>
      <c r="K174" s="100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2.75" customHeight="1">
      <c r="A175" s="1"/>
      <c r="B175" s="113"/>
      <c r="C175" s="1"/>
      <c r="D175" s="1"/>
      <c r="E175" s="1"/>
      <c r="F175" s="1"/>
      <c r="G175" s="1"/>
      <c r="H175" s="1"/>
      <c r="I175" s="1"/>
      <c r="J175" s="1"/>
      <c r="K175" s="100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2.75" customHeight="1">
      <c r="A176" s="1"/>
      <c r="B176" s="113"/>
      <c r="C176" s="1"/>
      <c r="D176" s="1"/>
      <c r="E176" s="1"/>
      <c r="F176" s="1"/>
      <c r="G176" s="1"/>
      <c r="H176" s="1"/>
      <c r="I176" s="1"/>
      <c r="J176" s="1"/>
      <c r="K176" s="100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2.75" customHeight="1">
      <c r="A177" s="1"/>
      <c r="B177" s="113"/>
      <c r="C177" s="1"/>
      <c r="D177" s="1"/>
      <c r="E177" s="1"/>
      <c r="F177" s="1"/>
      <c r="G177" s="1"/>
      <c r="H177" s="1"/>
      <c r="I177" s="1"/>
      <c r="J177" s="1"/>
      <c r="K177" s="100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2.75" customHeight="1">
      <c r="A178" s="1"/>
      <c r="B178" s="113"/>
      <c r="C178" s="1"/>
      <c r="D178" s="1"/>
      <c r="E178" s="1"/>
      <c r="F178" s="1"/>
      <c r="G178" s="1"/>
      <c r="H178" s="1"/>
      <c r="I178" s="1"/>
      <c r="J178" s="1"/>
      <c r="K178" s="100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2.75" customHeight="1">
      <c r="A179" s="1"/>
      <c r="B179" s="113"/>
      <c r="C179" s="1"/>
      <c r="D179" s="1"/>
      <c r="E179" s="1"/>
      <c r="F179" s="1"/>
      <c r="G179" s="1"/>
      <c r="H179" s="1"/>
      <c r="I179" s="1"/>
      <c r="J179" s="1"/>
      <c r="K179" s="100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2.75" customHeight="1">
      <c r="A180" s="1"/>
      <c r="B180" s="113"/>
      <c r="C180" s="1"/>
      <c r="D180" s="1"/>
      <c r="E180" s="1"/>
      <c r="F180" s="1"/>
      <c r="G180" s="1"/>
      <c r="H180" s="1"/>
      <c r="I180" s="1"/>
      <c r="J180" s="1"/>
      <c r="K180" s="100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2.75" customHeight="1">
      <c r="A181" s="1"/>
      <c r="B181" s="113"/>
      <c r="C181" s="1"/>
      <c r="D181" s="1"/>
      <c r="E181" s="1"/>
      <c r="F181" s="1"/>
      <c r="G181" s="1"/>
      <c r="H181" s="1"/>
      <c r="I181" s="1"/>
      <c r="J181" s="1"/>
      <c r="K181" s="100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2.75" customHeight="1">
      <c r="A182" s="1"/>
      <c r="B182" s="113"/>
      <c r="C182" s="1"/>
      <c r="D182" s="1"/>
      <c r="E182" s="1"/>
      <c r="F182" s="1"/>
      <c r="G182" s="1"/>
      <c r="H182" s="1"/>
      <c r="I182" s="1"/>
      <c r="J182" s="1"/>
      <c r="K182" s="100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2.75" customHeight="1">
      <c r="A183" s="1"/>
      <c r="B183" s="113"/>
      <c r="C183" s="1"/>
      <c r="D183" s="1"/>
      <c r="E183" s="1"/>
      <c r="F183" s="1"/>
      <c r="G183" s="1"/>
      <c r="H183" s="1"/>
      <c r="I183" s="1"/>
      <c r="J183" s="1"/>
      <c r="K183" s="100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2.75" customHeight="1">
      <c r="A184" s="1"/>
      <c r="B184" s="113"/>
      <c r="C184" s="1"/>
      <c r="D184" s="1"/>
      <c r="E184" s="1"/>
      <c r="F184" s="1"/>
      <c r="G184" s="1"/>
      <c r="H184" s="1"/>
      <c r="I184" s="1"/>
      <c r="J184" s="1"/>
      <c r="K184" s="100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2.75" customHeight="1">
      <c r="A185" s="1"/>
      <c r="B185" s="113"/>
      <c r="C185" s="1"/>
      <c r="D185" s="1"/>
      <c r="E185" s="1"/>
      <c r="F185" s="1"/>
      <c r="G185" s="1"/>
      <c r="H185" s="1"/>
      <c r="I185" s="1"/>
      <c r="J185" s="1"/>
      <c r="K185" s="100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2.75" customHeight="1">
      <c r="A186" s="1"/>
      <c r="B186" s="113"/>
      <c r="C186" s="1"/>
      <c r="D186" s="1"/>
      <c r="E186" s="1"/>
      <c r="F186" s="1"/>
      <c r="G186" s="1"/>
      <c r="H186" s="1"/>
      <c r="I186" s="1"/>
      <c r="J186" s="1"/>
      <c r="K186" s="100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2.75" customHeight="1">
      <c r="A187" s="1"/>
      <c r="B187" s="113"/>
      <c r="C187" s="1"/>
      <c r="D187" s="1"/>
      <c r="E187" s="1"/>
      <c r="F187" s="1"/>
      <c r="G187" s="1"/>
      <c r="H187" s="1"/>
      <c r="I187" s="1"/>
      <c r="J187" s="1"/>
      <c r="K187" s="100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2.75" customHeight="1">
      <c r="A188" s="1"/>
      <c r="B188" s="113"/>
      <c r="C188" s="1"/>
      <c r="D188" s="1"/>
      <c r="E188" s="1"/>
      <c r="F188" s="1"/>
      <c r="G188" s="1"/>
      <c r="H188" s="1"/>
      <c r="I188" s="1"/>
      <c r="J188" s="1"/>
      <c r="K188" s="100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2.75" customHeight="1">
      <c r="A189" s="1"/>
      <c r="B189" s="113"/>
      <c r="C189" s="1"/>
      <c r="D189" s="1"/>
      <c r="E189" s="1"/>
      <c r="F189" s="1"/>
      <c r="G189" s="1"/>
      <c r="H189" s="1"/>
      <c r="I189" s="1"/>
      <c r="J189" s="1"/>
      <c r="K189" s="100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2.75" customHeight="1">
      <c r="A190" s="1"/>
      <c r="B190" s="113"/>
      <c r="C190" s="1"/>
      <c r="D190" s="1"/>
      <c r="E190" s="1"/>
      <c r="F190" s="1"/>
      <c r="G190" s="1"/>
      <c r="H190" s="1"/>
      <c r="I190" s="1"/>
      <c r="J190" s="1"/>
      <c r="K190" s="100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2.75" customHeight="1">
      <c r="A191" s="1"/>
      <c r="B191" s="113"/>
      <c r="C191" s="1"/>
      <c r="D191" s="1"/>
      <c r="E191" s="1"/>
      <c r="F191" s="1"/>
      <c r="G191" s="1"/>
      <c r="H191" s="1"/>
      <c r="I191" s="1"/>
      <c r="J191" s="1"/>
      <c r="K191" s="100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2.75" customHeight="1">
      <c r="A192" s="1"/>
      <c r="B192" s="113"/>
      <c r="C192" s="1"/>
      <c r="D192" s="1"/>
      <c r="E192" s="1"/>
      <c r="F192" s="1"/>
      <c r="G192" s="1"/>
      <c r="H192" s="1"/>
      <c r="I192" s="1"/>
      <c r="J192" s="1"/>
      <c r="K192" s="100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2.75" customHeight="1">
      <c r="A193" s="1"/>
      <c r="B193" s="113"/>
      <c r="C193" s="1"/>
      <c r="D193" s="1"/>
      <c r="E193" s="1"/>
      <c r="F193" s="1"/>
      <c r="G193" s="1"/>
      <c r="H193" s="1"/>
      <c r="I193" s="1"/>
      <c r="J193" s="1"/>
      <c r="K193" s="100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2.75" customHeight="1">
      <c r="A194" s="1"/>
      <c r="B194" s="113"/>
      <c r="C194" s="1"/>
      <c r="D194" s="1"/>
      <c r="E194" s="1"/>
      <c r="F194" s="1"/>
      <c r="G194" s="1"/>
      <c r="H194" s="1"/>
      <c r="I194" s="1"/>
      <c r="J194" s="1"/>
      <c r="K194" s="100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2.75" customHeight="1">
      <c r="A195" s="1"/>
      <c r="B195" s="113"/>
      <c r="C195" s="1"/>
      <c r="D195" s="1"/>
      <c r="E195" s="1"/>
      <c r="F195" s="1"/>
      <c r="G195" s="1"/>
      <c r="H195" s="1"/>
      <c r="I195" s="1"/>
      <c r="J195" s="1"/>
      <c r="K195" s="100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2.75" customHeight="1">
      <c r="A196" s="1"/>
      <c r="B196" s="113"/>
      <c r="C196" s="1"/>
      <c r="D196" s="1"/>
      <c r="E196" s="1"/>
      <c r="F196" s="1"/>
      <c r="G196" s="1"/>
      <c r="H196" s="1"/>
      <c r="I196" s="1"/>
      <c r="J196" s="1"/>
      <c r="K196" s="100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2.75" customHeight="1">
      <c r="A197" s="1"/>
      <c r="B197" s="113"/>
      <c r="C197" s="1"/>
      <c r="D197" s="1"/>
      <c r="E197" s="1"/>
      <c r="F197" s="1"/>
      <c r="G197" s="1"/>
      <c r="H197" s="1"/>
      <c r="I197" s="1"/>
      <c r="J197" s="1"/>
      <c r="K197" s="100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2.75" customHeight="1">
      <c r="A198" s="1"/>
      <c r="B198" s="113"/>
      <c r="C198" s="1"/>
      <c r="D198" s="1"/>
      <c r="E198" s="1"/>
      <c r="F198" s="1"/>
      <c r="G198" s="1"/>
      <c r="H198" s="1"/>
      <c r="I198" s="1"/>
      <c r="J198" s="1"/>
      <c r="K198" s="100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2.75" customHeight="1">
      <c r="A199" s="1"/>
      <c r="B199" s="113"/>
      <c r="C199" s="1"/>
      <c r="D199" s="1"/>
      <c r="E199" s="1"/>
      <c r="F199" s="1"/>
      <c r="G199" s="1"/>
      <c r="H199" s="1"/>
      <c r="I199" s="1"/>
      <c r="J199" s="1"/>
      <c r="K199" s="100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2.75" customHeight="1">
      <c r="A200" s="1"/>
      <c r="B200" s="113"/>
      <c r="C200" s="1"/>
      <c r="D200" s="1"/>
      <c r="E200" s="1"/>
      <c r="F200" s="1"/>
      <c r="G200" s="1"/>
      <c r="H200" s="1"/>
      <c r="I200" s="1"/>
      <c r="J200" s="1"/>
      <c r="K200" s="100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2.75" customHeight="1">
      <c r="A201" s="1"/>
      <c r="B201" s="113"/>
      <c r="C201" s="1"/>
      <c r="D201" s="1"/>
      <c r="E201" s="1"/>
      <c r="F201" s="1"/>
      <c r="G201" s="1"/>
      <c r="H201" s="1"/>
      <c r="I201" s="1"/>
      <c r="J201" s="1"/>
      <c r="K201" s="100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2.75" customHeight="1">
      <c r="A202" s="1"/>
      <c r="B202" s="113"/>
      <c r="C202" s="1"/>
      <c r="D202" s="1"/>
      <c r="E202" s="1"/>
      <c r="F202" s="1"/>
      <c r="G202" s="1"/>
      <c r="H202" s="1"/>
      <c r="I202" s="1"/>
      <c r="J202" s="1"/>
      <c r="K202" s="100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2.75" customHeight="1">
      <c r="A203" s="1"/>
      <c r="B203" s="113"/>
      <c r="C203" s="1"/>
      <c r="D203" s="1"/>
      <c r="E203" s="1"/>
      <c r="F203" s="1"/>
      <c r="G203" s="1"/>
      <c r="H203" s="1"/>
      <c r="I203" s="1"/>
      <c r="J203" s="1"/>
      <c r="K203" s="100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2.75" customHeight="1">
      <c r="A204" s="1"/>
      <c r="B204" s="113"/>
      <c r="C204" s="1"/>
      <c r="D204" s="1"/>
      <c r="E204" s="1"/>
      <c r="F204" s="1"/>
      <c r="G204" s="1"/>
      <c r="H204" s="1"/>
      <c r="I204" s="1"/>
      <c r="J204" s="1"/>
      <c r="K204" s="100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2.75" customHeight="1">
      <c r="A205" s="1"/>
      <c r="B205" s="113"/>
      <c r="C205" s="1"/>
      <c r="D205" s="1"/>
      <c r="E205" s="1"/>
      <c r="F205" s="1"/>
      <c r="G205" s="1"/>
      <c r="H205" s="1"/>
      <c r="I205" s="1"/>
      <c r="J205" s="1"/>
      <c r="K205" s="100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2.75" customHeight="1">
      <c r="A206" s="1"/>
      <c r="B206" s="113"/>
      <c r="C206" s="1"/>
      <c r="D206" s="1"/>
      <c r="E206" s="1"/>
      <c r="F206" s="1"/>
      <c r="G206" s="1"/>
      <c r="H206" s="1"/>
      <c r="I206" s="1"/>
      <c r="J206" s="1"/>
      <c r="K206" s="100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2.75" customHeight="1">
      <c r="A207" s="1"/>
      <c r="B207" s="113"/>
      <c r="C207" s="1"/>
      <c r="D207" s="1"/>
      <c r="E207" s="1"/>
      <c r="F207" s="1"/>
      <c r="G207" s="1"/>
      <c r="H207" s="1"/>
      <c r="I207" s="1"/>
      <c r="J207" s="1"/>
      <c r="K207" s="100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2.75" customHeight="1">
      <c r="A208" s="1"/>
      <c r="B208" s="113"/>
      <c r="C208" s="1"/>
      <c r="D208" s="1"/>
      <c r="E208" s="1"/>
      <c r="F208" s="1"/>
      <c r="G208" s="1"/>
      <c r="H208" s="1"/>
      <c r="I208" s="1"/>
      <c r="J208" s="1"/>
      <c r="K208" s="100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2.75" customHeight="1">
      <c r="A209" s="1"/>
      <c r="B209" s="113"/>
      <c r="C209" s="1"/>
      <c r="D209" s="1"/>
      <c r="E209" s="1"/>
      <c r="F209" s="1"/>
      <c r="G209" s="1"/>
      <c r="H209" s="1"/>
      <c r="I209" s="1"/>
      <c r="J209" s="1"/>
      <c r="K209" s="100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2.75" customHeight="1">
      <c r="A210" s="1"/>
      <c r="B210" s="113"/>
      <c r="C210" s="1"/>
      <c r="D210" s="1"/>
      <c r="E210" s="1"/>
      <c r="F210" s="1"/>
      <c r="G210" s="1"/>
      <c r="H210" s="1"/>
      <c r="I210" s="1"/>
      <c r="J210" s="1"/>
      <c r="K210" s="100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2.75" customHeight="1">
      <c r="A211" s="1"/>
      <c r="B211" s="113"/>
      <c r="C211" s="1"/>
      <c r="D211" s="1"/>
      <c r="E211" s="1"/>
      <c r="F211" s="1"/>
      <c r="G211" s="1"/>
      <c r="H211" s="1"/>
      <c r="I211" s="1"/>
      <c r="J211" s="1"/>
      <c r="K211" s="100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2.75" customHeight="1">
      <c r="A212" s="1"/>
      <c r="B212" s="113"/>
      <c r="C212" s="1"/>
      <c r="D212" s="1"/>
      <c r="E212" s="1"/>
      <c r="F212" s="1"/>
      <c r="G212" s="1"/>
      <c r="H212" s="1"/>
      <c r="I212" s="1"/>
      <c r="J212" s="1"/>
      <c r="K212" s="100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2.75" customHeight="1">
      <c r="A213" s="1"/>
      <c r="B213" s="113"/>
      <c r="C213" s="1"/>
      <c r="D213" s="1"/>
      <c r="E213" s="1"/>
      <c r="F213" s="1"/>
      <c r="G213" s="1"/>
      <c r="H213" s="1"/>
      <c r="I213" s="1"/>
      <c r="J213" s="1"/>
      <c r="K213" s="100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2.75" customHeight="1">
      <c r="A214" s="1"/>
      <c r="B214" s="113"/>
      <c r="C214" s="1"/>
      <c r="D214" s="1"/>
      <c r="E214" s="1"/>
      <c r="F214" s="1"/>
      <c r="G214" s="1"/>
      <c r="H214" s="1"/>
      <c r="I214" s="1"/>
      <c r="J214" s="1"/>
      <c r="K214" s="100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2.75" customHeight="1">
      <c r="A215" s="1"/>
      <c r="B215" s="113"/>
      <c r="C215" s="1"/>
      <c r="D215" s="1"/>
      <c r="E215" s="1"/>
      <c r="F215" s="1"/>
      <c r="G215" s="1"/>
      <c r="H215" s="1"/>
      <c r="I215" s="1"/>
      <c r="J215" s="1"/>
      <c r="K215" s="100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2.75" customHeight="1">
      <c r="A216" s="1"/>
      <c r="B216" s="113"/>
      <c r="C216" s="1"/>
      <c r="D216" s="1"/>
      <c r="E216" s="1"/>
      <c r="F216" s="1"/>
      <c r="G216" s="1"/>
      <c r="H216" s="1"/>
      <c r="I216" s="1"/>
      <c r="J216" s="1"/>
      <c r="K216" s="100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2.75" customHeight="1">
      <c r="A217" s="1"/>
      <c r="B217" s="113"/>
      <c r="C217" s="1"/>
      <c r="D217" s="1"/>
      <c r="E217" s="1"/>
      <c r="F217" s="1"/>
      <c r="G217" s="1"/>
      <c r="H217" s="1"/>
      <c r="I217" s="1"/>
      <c r="J217" s="1"/>
      <c r="K217" s="100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2.75" customHeight="1">
      <c r="A218" s="1"/>
      <c r="B218" s="113"/>
      <c r="C218" s="1"/>
      <c r="D218" s="1"/>
      <c r="E218" s="1"/>
      <c r="F218" s="1"/>
      <c r="G218" s="1"/>
      <c r="H218" s="1"/>
      <c r="I218" s="1"/>
      <c r="J218" s="1"/>
      <c r="K218" s="100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2.75" customHeight="1">
      <c r="A219" s="1"/>
      <c r="B219" s="113"/>
      <c r="C219" s="1"/>
      <c r="D219" s="1"/>
      <c r="E219" s="1"/>
      <c r="F219" s="1"/>
      <c r="G219" s="1"/>
      <c r="H219" s="1"/>
      <c r="I219" s="1"/>
      <c r="J219" s="1"/>
      <c r="K219" s="100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2.75" customHeight="1">
      <c r="A220" s="1"/>
      <c r="B220" s="113"/>
      <c r="C220" s="1"/>
      <c r="D220" s="1"/>
      <c r="E220" s="1"/>
      <c r="F220" s="1"/>
      <c r="G220" s="1"/>
      <c r="H220" s="1"/>
      <c r="I220" s="1"/>
      <c r="J220" s="1"/>
      <c r="K220" s="100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2.75" customHeight="1">
      <c r="A221" s="1"/>
      <c r="B221" s="113"/>
      <c r="C221" s="1"/>
      <c r="D221" s="1"/>
      <c r="E221" s="1"/>
      <c r="F221" s="1"/>
      <c r="G221" s="1"/>
      <c r="H221" s="1"/>
      <c r="I221" s="1"/>
      <c r="J221" s="1"/>
      <c r="K221" s="100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2.75" customHeight="1">
      <c r="A222" s="1"/>
      <c r="B222" s="113"/>
      <c r="C222" s="1"/>
      <c r="D222" s="1"/>
      <c r="E222" s="1"/>
      <c r="F222" s="1"/>
      <c r="G222" s="1"/>
      <c r="H222" s="1"/>
      <c r="I222" s="1"/>
      <c r="J222" s="1"/>
      <c r="K222" s="100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2.75" customHeight="1">
      <c r="A223" s="1"/>
      <c r="B223" s="113"/>
      <c r="C223" s="1"/>
      <c r="D223" s="1"/>
      <c r="E223" s="1"/>
      <c r="F223" s="1"/>
      <c r="G223" s="1"/>
      <c r="H223" s="1"/>
      <c r="I223" s="1"/>
      <c r="J223" s="1"/>
      <c r="K223" s="100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2.75" customHeight="1">
      <c r="A224" s="1"/>
      <c r="B224" s="113"/>
      <c r="C224" s="1"/>
      <c r="D224" s="1"/>
      <c r="E224" s="1"/>
      <c r="F224" s="1"/>
      <c r="G224" s="1"/>
      <c r="H224" s="1"/>
      <c r="I224" s="1"/>
      <c r="J224" s="1"/>
      <c r="K224" s="100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2.75" customHeight="1">
      <c r="A225" s="1"/>
      <c r="B225" s="113"/>
      <c r="C225" s="1"/>
      <c r="D225" s="1"/>
      <c r="E225" s="1"/>
      <c r="F225" s="1"/>
      <c r="G225" s="1"/>
      <c r="H225" s="1"/>
      <c r="I225" s="1"/>
      <c r="J225" s="1"/>
      <c r="K225" s="100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2.75" customHeight="1">
      <c r="A226" s="1"/>
      <c r="B226" s="113"/>
      <c r="C226" s="1"/>
      <c r="D226" s="1"/>
      <c r="E226" s="1"/>
      <c r="F226" s="1"/>
      <c r="G226" s="1"/>
      <c r="H226" s="1"/>
      <c r="I226" s="1"/>
      <c r="J226" s="1"/>
      <c r="K226" s="100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2.75" customHeight="1">
      <c r="A227" s="1"/>
      <c r="B227" s="113"/>
      <c r="C227" s="1"/>
      <c r="D227" s="1"/>
      <c r="E227" s="1"/>
      <c r="F227" s="1"/>
      <c r="G227" s="1"/>
      <c r="H227" s="1"/>
      <c r="I227" s="1"/>
      <c r="J227" s="1"/>
      <c r="K227" s="100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2.75" customHeight="1">
      <c r="A228" s="1"/>
      <c r="B228" s="113"/>
      <c r="C228" s="1"/>
      <c r="D228" s="1"/>
      <c r="E228" s="1"/>
      <c r="F228" s="1"/>
      <c r="G228" s="1"/>
      <c r="H228" s="1"/>
      <c r="I228" s="1"/>
      <c r="J228" s="1"/>
      <c r="K228" s="100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2.75" customHeight="1">
      <c r="A229" s="1"/>
      <c r="B229" s="113"/>
      <c r="C229" s="1"/>
      <c r="D229" s="1"/>
      <c r="E229" s="1"/>
      <c r="F229" s="1"/>
      <c r="G229" s="1"/>
      <c r="H229" s="1"/>
      <c r="I229" s="1"/>
      <c r="J229" s="1"/>
      <c r="K229" s="100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2.75" customHeight="1">
      <c r="A230" s="1"/>
      <c r="B230" s="113"/>
      <c r="C230" s="1"/>
      <c r="D230" s="1"/>
      <c r="E230" s="1"/>
      <c r="F230" s="1"/>
      <c r="G230" s="1"/>
      <c r="H230" s="1"/>
      <c r="I230" s="1"/>
      <c r="J230" s="1"/>
      <c r="K230" s="100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2.75" customHeight="1">
      <c r="A231" s="1"/>
      <c r="B231" s="113"/>
      <c r="C231" s="1"/>
      <c r="D231" s="1"/>
      <c r="E231" s="1"/>
      <c r="F231" s="1"/>
      <c r="G231" s="1"/>
      <c r="H231" s="1"/>
      <c r="I231" s="1"/>
      <c r="J231" s="1"/>
      <c r="K231" s="100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2.75" customHeight="1">
      <c r="A232" s="1"/>
      <c r="B232" s="113"/>
      <c r="C232" s="1"/>
      <c r="D232" s="1"/>
      <c r="E232" s="1"/>
      <c r="F232" s="1"/>
      <c r="G232" s="1"/>
      <c r="H232" s="1"/>
      <c r="I232" s="1"/>
      <c r="J232" s="1"/>
      <c r="K232" s="100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2.75" customHeight="1">
      <c r="A233" s="1"/>
      <c r="B233" s="113"/>
      <c r="C233" s="1"/>
      <c r="D233" s="1"/>
      <c r="E233" s="1"/>
      <c r="F233" s="1"/>
      <c r="G233" s="1"/>
      <c r="H233" s="1"/>
      <c r="I233" s="1"/>
      <c r="J233" s="1"/>
      <c r="K233" s="100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2.75" customHeight="1">
      <c r="A234" s="1"/>
      <c r="B234" s="113"/>
      <c r="C234" s="1"/>
      <c r="D234" s="1"/>
      <c r="E234" s="1"/>
      <c r="F234" s="1"/>
      <c r="G234" s="1"/>
      <c r="H234" s="1"/>
      <c r="I234" s="1"/>
      <c r="J234" s="1"/>
      <c r="K234" s="100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2.75" customHeight="1">
      <c r="A235" s="1"/>
      <c r="B235" s="113"/>
      <c r="C235" s="1"/>
      <c r="D235" s="1"/>
      <c r="E235" s="1"/>
      <c r="F235" s="1"/>
      <c r="G235" s="1"/>
      <c r="H235" s="1"/>
      <c r="I235" s="1"/>
      <c r="J235" s="1"/>
      <c r="K235" s="100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2.75" customHeight="1">
      <c r="A236" s="1"/>
      <c r="B236" s="113"/>
      <c r="C236" s="1"/>
      <c r="D236" s="1"/>
      <c r="E236" s="1"/>
      <c r="F236" s="1"/>
      <c r="G236" s="1"/>
      <c r="H236" s="1"/>
      <c r="I236" s="1"/>
      <c r="J236" s="1"/>
      <c r="K236" s="100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2.75" customHeight="1">
      <c r="A237" s="1"/>
      <c r="B237" s="113"/>
      <c r="C237" s="1"/>
      <c r="D237" s="1"/>
      <c r="E237" s="1"/>
      <c r="F237" s="1"/>
      <c r="G237" s="1"/>
      <c r="H237" s="1"/>
      <c r="I237" s="1"/>
      <c r="J237" s="1"/>
      <c r="K237" s="100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2.75" customHeight="1">
      <c r="A238" s="1"/>
      <c r="B238" s="113"/>
      <c r="C238" s="1"/>
      <c r="D238" s="1"/>
      <c r="E238" s="1"/>
      <c r="F238" s="1"/>
      <c r="G238" s="1"/>
      <c r="H238" s="1"/>
      <c r="I238" s="1"/>
      <c r="J238" s="1"/>
      <c r="K238" s="100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2.75" customHeight="1">
      <c r="A239" s="1"/>
      <c r="B239" s="113"/>
      <c r="C239" s="1"/>
      <c r="D239" s="1"/>
      <c r="E239" s="1"/>
      <c r="F239" s="1"/>
      <c r="G239" s="1"/>
      <c r="H239" s="1"/>
      <c r="I239" s="1"/>
      <c r="J239" s="1"/>
      <c r="K239" s="100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5">
    <mergeCell ref="B2:D2"/>
    <mergeCell ref="B3:D3"/>
    <mergeCell ref="B4:D4"/>
    <mergeCell ref="I5:J5"/>
    <mergeCell ref="I6:J6"/>
  </mergeCells>
  <dataValidations>
    <dataValidation type="list" allowBlank="1" showErrorMessage="1" sqref="F9:F32 F34:F160">
      <formula1>$L$2:$L$5</formula1>
    </dataValidation>
    <dataValidation type="list" allowBlank="1" showErrorMessage="1" sqref="E10:E32 E34:E39">
      <formula1>$M$2:$M$4</formula1>
    </dataValidation>
  </dataValidations>
  <hyperlinks>
    <hyperlink r:id="rId2" ref="C19"/>
  </hyperlinks>
  <printOptions/>
  <pageMargins bottom="0.9840277777777777" footer="0.0" header="0.0" left="0.7479166666666667" right="0.25" top="0.75"/>
  <pageSetup paperSize="9" orientation="landscape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20.0"/>
    <col customWidth="1" min="2" max="2" width="24.13"/>
    <col customWidth="1" min="3" max="3" width="42.63"/>
    <col customWidth="1" min="4" max="4" width="70.63"/>
    <col customWidth="1" min="5" max="5" width="15.0"/>
    <col customWidth="1" min="6" max="6" width="16.38"/>
    <col customWidth="1" min="7" max="9" width="14.63"/>
    <col customWidth="1" min="10" max="10" width="17.63"/>
    <col customWidth="1" min="11" max="11" width="10.63"/>
    <col customWidth="1" min="12" max="12" width="8.5"/>
    <col customWidth="1" min="13" max="28" width="9.0"/>
  </cols>
  <sheetData>
    <row r="1" ht="12.75" customHeight="1">
      <c r="A1" s="45"/>
      <c r="B1" s="46"/>
      <c r="C1" s="47"/>
      <c r="D1" s="47"/>
      <c r="E1" s="81"/>
      <c r="F1" s="10"/>
      <c r="G1" s="48"/>
      <c r="H1" s="48"/>
      <c r="I1" s="48"/>
      <c r="J1" s="10"/>
      <c r="K1" s="49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</row>
    <row r="2" ht="12.75" customHeight="1">
      <c r="A2" s="51" t="s">
        <v>29</v>
      </c>
      <c r="B2" s="52" t="s">
        <v>22</v>
      </c>
      <c r="C2" s="53"/>
      <c r="D2" s="54"/>
      <c r="E2" s="114"/>
      <c r="F2" s="56"/>
      <c r="G2" s="10"/>
      <c r="H2" s="10"/>
      <c r="I2" s="10"/>
      <c r="J2" s="10"/>
      <c r="K2" s="49"/>
      <c r="L2" s="50" t="s">
        <v>16</v>
      </c>
      <c r="M2" s="50" t="s">
        <v>31</v>
      </c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ht="12.75" customHeight="1">
      <c r="A3" s="51" t="s">
        <v>32</v>
      </c>
      <c r="B3" s="57" t="s">
        <v>139</v>
      </c>
      <c r="C3" s="58"/>
      <c r="D3" s="59"/>
      <c r="E3" s="114"/>
      <c r="F3" s="56"/>
      <c r="G3" s="10"/>
      <c r="H3" s="10"/>
      <c r="I3" s="10"/>
      <c r="J3" s="10"/>
      <c r="K3" s="49"/>
      <c r="L3" s="50" t="s">
        <v>17</v>
      </c>
      <c r="M3" s="50" t="s">
        <v>34</v>
      </c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</row>
    <row r="4" ht="14.25" customHeight="1">
      <c r="A4" s="60" t="s">
        <v>35</v>
      </c>
      <c r="B4" s="61"/>
      <c r="C4" s="62"/>
      <c r="D4" s="63"/>
      <c r="E4" s="115"/>
      <c r="F4" s="56"/>
      <c r="G4" s="10"/>
      <c r="H4" s="10"/>
      <c r="I4" s="10"/>
      <c r="J4" s="10"/>
      <c r="K4" s="49"/>
      <c r="L4" s="50" t="s">
        <v>18</v>
      </c>
      <c r="M4" s="50" t="s">
        <v>36</v>
      </c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</row>
    <row r="5" ht="12.75" customHeight="1">
      <c r="A5" s="65" t="s">
        <v>16</v>
      </c>
      <c r="B5" s="66" t="s">
        <v>17</v>
      </c>
      <c r="C5" s="67" t="s">
        <v>18</v>
      </c>
      <c r="D5" s="68" t="s">
        <v>37</v>
      </c>
      <c r="E5" s="69"/>
      <c r="F5" s="70"/>
      <c r="G5" s="71"/>
      <c r="H5" s="71"/>
      <c r="I5" s="71"/>
      <c r="J5" s="72"/>
      <c r="K5" s="73"/>
      <c r="L5" s="50" t="s">
        <v>38</v>
      </c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</row>
    <row r="6" ht="12.75" customHeight="1">
      <c r="A6" s="74">
        <f>COUNTIF(F10:F1007,"Passed")</f>
        <v>23</v>
      </c>
      <c r="B6" s="75">
        <f>COUNTIF(F10:F1007,"Failed")</f>
        <v>2</v>
      </c>
      <c r="C6" s="76">
        <f>D6-B6-A6</f>
        <v>1</v>
      </c>
      <c r="D6" s="74">
        <f>COUNTA(A10:A1007)</f>
        <v>26</v>
      </c>
      <c r="E6" s="77"/>
      <c r="F6" s="78"/>
      <c r="G6" s="79"/>
      <c r="H6" s="79"/>
      <c r="I6" s="79"/>
      <c r="J6" s="72"/>
      <c r="K6" s="73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</row>
    <row r="7" ht="12.75" customHeight="1">
      <c r="A7" s="50"/>
      <c r="B7" s="80"/>
      <c r="C7" s="50"/>
      <c r="D7" s="81"/>
      <c r="E7" s="81"/>
      <c r="F7" s="82"/>
      <c r="G7" s="82"/>
      <c r="H7" s="82"/>
      <c r="I7" s="82"/>
      <c r="J7" s="82"/>
      <c r="K7" s="73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>
      <c r="A8" s="83" t="s">
        <v>39</v>
      </c>
      <c r="B8" s="116" t="s">
        <v>40</v>
      </c>
      <c r="C8" s="83" t="s">
        <v>41</v>
      </c>
      <c r="D8" s="83" t="s">
        <v>42</v>
      </c>
      <c r="E8" s="83" t="s">
        <v>43</v>
      </c>
      <c r="F8" s="83" t="s">
        <v>44</v>
      </c>
      <c r="G8" s="83" t="s">
        <v>45</v>
      </c>
      <c r="H8" s="83" t="s">
        <v>35</v>
      </c>
      <c r="I8" s="83" t="s">
        <v>46</v>
      </c>
      <c r="J8" s="83" t="s">
        <v>47</v>
      </c>
      <c r="K8" s="84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</row>
    <row r="9">
      <c r="A9" s="117"/>
      <c r="B9" s="118" t="s">
        <v>48</v>
      </c>
      <c r="C9" s="117"/>
      <c r="D9" s="117"/>
      <c r="E9" s="119"/>
      <c r="F9" s="117"/>
      <c r="G9" s="117"/>
      <c r="H9" s="117"/>
      <c r="I9" s="117"/>
      <c r="J9" s="117"/>
      <c r="K9" s="87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</row>
    <row r="10" outlineLevel="1">
      <c r="A10" s="88" t="str">
        <f t="shared" ref="A10:A16" si="1">IF(OR(C10&lt;&gt;"",D10&lt;&gt;""),"["&amp;TEXT($B$2,"##")&amp;"-"&amp;TEXT(ROW()-10+1,"##")&amp;"]","")</f>
        <v>[UC02_Login-1]</v>
      </c>
      <c r="B10" s="96" t="s">
        <v>140</v>
      </c>
      <c r="C10" s="96" t="s">
        <v>141</v>
      </c>
      <c r="D10" s="96" t="s">
        <v>142</v>
      </c>
      <c r="E10" s="93" t="s">
        <v>36</v>
      </c>
      <c r="F10" s="93" t="s">
        <v>16</v>
      </c>
      <c r="G10" s="88"/>
      <c r="H10" s="88"/>
      <c r="I10" s="88"/>
      <c r="J10" s="88"/>
      <c r="K10" s="95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</row>
    <row r="11" outlineLevel="1">
      <c r="A11" s="88" t="str">
        <f t="shared" si="1"/>
        <v>[UC02_Login-2]</v>
      </c>
      <c r="B11" s="96" t="s">
        <v>52</v>
      </c>
      <c r="C11" s="96" t="s">
        <v>143</v>
      </c>
      <c r="D11" s="96" t="s">
        <v>144</v>
      </c>
      <c r="E11" s="93" t="s">
        <v>36</v>
      </c>
      <c r="F11" s="93" t="s">
        <v>16</v>
      </c>
      <c r="G11" s="88"/>
      <c r="H11" s="88"/>
      <c r="I11" s="88"/>
      <c r="J11" s="88"/>
      <c r="K11" s="95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</row>
    <row r="12" outlineLevel="1">
      <c r="A12" s="88" t="str">
        <f t="shared" si="1"/>
        <v>[UC02_Login-3]</v>
      </c>
      <c r="B12" s="96" t="s">
        <v>55</v>
      </c>
      <c r="C12" s="96" t="s">
        <v>145</v>
      </c>
      <c r="D12" s="96" t="s">
        <v>146</v>
      </c>
      <c r="E12" s="93" t="s">
        <v>36</v>
      </c>
      <c r="F12" s="93" t="s">
        <v>16</v>
      </c>
      <c r="G12" s="88"/>
      <c r="H12" s="88"/>
      <c r="I12" s="88"/>
      <c r="J12" s="88"/>
      <c r="K12" s="95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</row>
    <row r="13" outlineLevel="1">
      <c r="A13" s="88" t="str">
        <f t="shared" si="1"/>
        <v>[UC02_Login-4]</v>
      </c>
      <c r="B13" s="96" t="s">
        <v>58</v>
      </c>
      <c r="C13" s="96" t="s">
        <v>147</v>
      </c>
      <c r="D13" s="96" t="s">
        <v>148</v>
      </c>
      <c r="E13" s="93" t="s">
        <v>31</v>
      </c>
      <c r="F13" s="93" t="s">
        <v>16</v>
      </c>
      <c r="G13" s="88"/>
      <c r="H13" s="88"/>
      <c r="I13" s="88"/>
      <c r="J13" s="88"/>
      <c r="K13" s="95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</row>
    <row r="14" outlineLevel="1">
      <c r="A14" s="88" t="str">
        <f t="shared" si="1"/>
        <v>[UC02_Login-5]</v>
      </c>
      <c r="B14" s="96" t="s">
        <v>63</v>
      </c>
      <c r="C14" s="96" t="s">
        <v>149</v>
      </c>
      <c r="D14" s="96" t="s">
        <v>150</v>
      </c>
      <c r="E14" s="93" t="s">
        <v>36</v>
      </c>
      <c r="F14" s="93" t="s">
        <v>16</v>
      </c>
      <c r="G14" s="88"/>
      <c r="H14" s="88"/>
      <c r="I14" s="88"/>
      <c r="J14" s="88"/>
      <c r="K14" s="95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</row>
    <row r="15" outlineLevel="1">
      <c r="A15" s="88" t="str">
        <f t="shared" si="1"/>
        <v>[UC02_Login-6]</v>
      </c>
      <c r="B15" s="96" t="s">
        <v>66</v>
      </c>
      <c r="C15" s="96" t="s">
        <v>151</v>
      </c>
      <c r="D15" s="96" t="s">
        <v>68</v>
      </c>
      <c r="E15" s="93" t="s">
        <v>34</v>
      </c>
      <c r="F15" s="93" t="s">
        <v>16</v>
      </c>
      <c r="G15" s="88"/>
      <c r="H15" s="88"/>
      <c r="I15" s="88"/>
      <c r="J15" s="88"/>
      <c r="K15" s="95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</row>
    <row r="16" outlineLevel="1">
      <c r="A16" s="88" t="str">
        <f t="shared" si="1"/>
        <v>[UC02_Login-7]</v>
      </c>
      <c r="B16" s="96" t="s">
        <v>152</v>
      </c>
      <c r="C16" s="96" t="s">
        <v>153</v>
      </c>
      <c r="D16" s="96" t="s">
        <v>154</v>
      </c>
      <c r="E16" s="93" t="s">
        <v>36</v>
      </c>
      <c r="F16" s="93" t="s">
        <v>16</v>
      </c>
      <c r="G16" s="88"/>
      <c r="H16" s="88"/>
      <c r="I16" s="88"/>
      <c r="J16" s="88"/>
      <c r="K16" s="95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</row>
    <row r="17" ht="15.75" customHeight="1">
      <c r="A17" s="117"/>
      <c r="B17" s="118" t="s">
        <v>69</v>
      </c>
      <c r="C17" s="117"/>
      <c r="D17" s="117"/>
      <c r="E17" s="119"/>
      <c r="F17" s="117"/>
      <c r="G17" s="117"/>
      <c r="H17" s="117"/>
      <c r="I17" s="117"/>
      <c r="J17" s="117"/>
      <c r="K17" s="87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ht="44.25" customHeight="1" outlineLevel="1">
      <c r="A18" s="24" t="str">
        <f t="shared" ref="A18:A29" si="2">IF(OR(C18&lt;&gt;"",D18&lt;&gt;""),"["&amp;TEXT($B$2,"##")&amp;"-"&amp;TEXT(ROW()-10,"##")&amp;"]","")</f>
        <v>[UC02_Login-8]</v>
      </c>
      <c r="B18" s="90" t="s">
        <v>73</v>
      </c>
      <c r="C18" s="96" t="s">
        <v>155</v>
      </c>
      <c r="D18" s="96" t="s">
        <v>156</v>
      </c>
      <c r="E18" s="93" t="s">
        <v>36</v>
      </c>
      <c r="F18" s="93" t="s">
        <v>16</v>
      </c>
      <c r="G18" s="24"/>
      <c r="H18" s="24"/>
      <c r="I18" s="24"/>
      <c r="J18" s="24"/>
      <c r="K18" s="121"/>
      <c r="L18" s="27"/>
      <c r="M18" s="27"/>
      <c r="N18" s="27"/>
      <c r="O18" s="27"/>
      <c r="P18" s="27" t="s">
        <v>157</v>
      </c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 ht="34.5" customHeight="1" outlineLevel="1">
      <c r="A19" s="24" t="str">
        <f t="shared" si="2"/>
        <v>[UC02_Login-9]</v>
      </c>
      <c r="B19" s="90" t="s">
        <v>76</v>
      </c>
      <c r="C19" s="96" t="s">
        <v>158</v>
      </c>
      <c r="D19" s="96" t="s">
        <v>78</v>
      </c>
      <c r="E19" s="122" t="s">
        <v>36</v>
      </c>
      <c r="F19" s="93" t="s">
        <v>16</v>
      </c>
      <c r="G19" s="88"/>
      <c r="H19" s="88"/>
      <c r="I19" s="88"/>
      <c r="J19" s="88"/>
      <c r="K19" s="9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45.75" customHeight="1" outlineLevel="1">
      <c r="A20" s="24" t="str">
        <f t="shared" si="2"/>
        <v>[UC02_Login-10]</v>
      </c>
      <c r="B20" s="90" t="s">
        <v>85</v>
      </c>
      <c r="C20" s="96" t="s">
        <v>159</v>
      </c>
      <c r="D20" s="96" t="s">
        <v>160</v>
      </c>
      <c r="E20" s="122" t="s">
        <v>36</v>
      </c>
      <c r="F20" s="93" t="s">
        <v>16</v>
      </c>
      <c r="G20" s="88"/>
      <c r="H20" s="88"/>
      <c r="I20" s="88"/>
      <c r="J20" s="88"/>
      <c r="K20" s="9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46.5" customHeight="1" outlineLevel="1">
      <c r="A21" s="24" t="str">
        <f t="shared" si="2"/>
        <v>[UC02_Login-11]</v>
      </c>
      <c r="B21" s="90" t="s">
        <v>161</v>
      </c>
      <c r="C21" s="96" t="s">
        <v>162</v>
      </c>
      <c r="D21" s="96" t="s">
        <v>163</v>
      </c>
      <c r="E21" s="122" t="s">
        <v>36</v>
      </c>
      <c r="F21" s="93" t="s">
        <v>16</v>
      </c>
      <c r="G21" s="88"/>
      <c r="H21" s="88"/>
      <c r="I21" s="88"/>
      <c r="J21" s="88"/>
      <c r="K21" s="9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49.5" customHeight="1" outlineLevel="1">
      <c r="A22" s="24" t="str">
        <f t="shared" si="2"/>
        <v>[UC02_Login-12]</v>
      </c>
      <c r="B22" s="90" t="s">
        <v>164</v>
      </c>
      <c r="C22" s="96" t="s">
        <v>165</v>
      </c>
      <c r="D22" s="96" t="s">
        <v>163</v>
      </c>
      <c r="E22" s="122" t="s">
        <v>36</v>
      </c>
      <c r="F22" s="93" t="s">
        <v>16</v>
      </c>
      <c r="G22" s="88"/>
      <c r="H22" s="88"/>
      <c r="I22" s="88"/>
      <c r="J22" s="88"/>
      <c r="K22" s="9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43.5" customHeight="1" outlineLevel="1">
      <c r="A23" s="24" t="str">
        <f t="shared" si="2"/>
        <v>[UC02_Login-13]</v>
      </c>
      <c r="B23" s="90" t="s">
        <v>166</v>
      </c>
      <c r="C23" s="96" t="s">
        <v>167</v>
      </c>
      <c r="D23" s="96" t="s">
        <v>168</v>
      </c>
      <c r="E23" s="122" t="s">
        <v>36</v>
      </c>
      <c r="F23" s="93" t="s">
        <v>16</v>
      </c>
      <c r="G23" s="88"/>
      <c r="H23" s="88"/>
      <c r="I23" s="88"/>
      <c r="J23" s="88"/>
      <c r="K23" s="10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40.5" customHeight="1" outlineLevel="1">
      <c r="A24" s="24" t="str">
        <f t="shared" si="2"/>
        <v>[UC02_Login-14]</v>
      </c>
      <c r="B24" s="90" t="s">
        <v>169</v>
      </c>
      <c r="C24" s="96" t="s">
        <v>170</v>
      </c>
      <c r="D24" s="96" t="s">
        <v>171</v>
      </c>
      <c r="E24" s="122" t="s">
        <v>36</v>
      </c>
      <c r="F24" s="93" t="s">
        <v>18</v>
      </c>
      <c r="G24" s="88"/>
      <c r="H24" s="88"/>
      <c r="I24" s="88"/>
      <c r="J24" s="88"/>
      <c r="K24" s="100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36.75" customHeight="1" outlineLevel="1">
      <c r="A25" s="24" t="str">
        <f t="shared" si="2"/>
        <v>[UC02_Login-15]</v>
      </c>
      <c r="B25" s="90" t="s">
        <v>172</v>
      </c>
      <c r="C25" s="96" t="s">
        <v>173</v>
      </c>
      <c r="D25" s="96" t="s">
        <v>174</v>
      </c>
      <c r="E25" s="122" t="s">
        <v>34</v>
      </c>
      <c r="F25" s="93" t="s">
        <v>16</v>
      </c>
      <c r="G25" s="88"/>
      <c r="H25" s="88"/>
      <c r="I25" s="88"/>
      <c r="J25" s="88"/>
      <c r="K25" s="100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25.5" customHeight="1" outlineLevel="1">
      <c r="A26" s="24" t="str">
        <f t="shared" si="2"/>
        <v>[UC02_Login-16]</v>
      </c>
      <c r="B26" s="90" t="s">
        <v>175</v>
      </c>
      <c r="C26" s="96" t="s">
        <v>176</v>
      </c>
      <c r="D26" s="96" t="s">
        <v>177</v>
      </c>
      <c r="E26" s="122" t="s">
        <v>36</v>
      </c>
      <c r="F26" s="93" t="s">
        <v>17</v>
      </c>
      <c r="G26" s="90" t="s">
        <v>178</v>
      </c>
      <c r="H26" s="123" t="s">
        <v>62</v>
      </c>
      <c r="I26" s="124">
        <v>46100.0</v>
      </c>
      <c r="J26" s="88"/>
      <c r="K26" s="100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42.75" customHeight="1" outlineLevel="1">
      <c r="A27" s="24" t="str">
        <f t="shared" si="2"/>
        <v>[UC02_Login-17]</v>
      </c>
      <c r="B27" s="90" t="s">
        <v>179</v>
      </c>
      <c r="C27" s="96" t="s">
        <v>180</v>
      </c>
      <c r="D27" s="96" t="s">
        <v>181</v>
      </c>
      <c r="E27" s="122" t="s">
        <v>36</v>
      </c>
      <c r="F27" s="93" t="s">
        <v>16</v>
      </c>
      <c r="G27" s="88"/>
      <c r="H27" s="88"/>
      <c r="I27" s="88"/>
      <c r="J27" s="88"/>
      <c r="K27" s="100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41.25" customHeight="1" outlineLevel="1">
      <c r="A28" s="24" t="str">
        <f t="shared" si="2"/>
        <v>[UC02_Login-18]</v>
      </c>
      <c r="B28" s="90" t="s">
        <v>182</v>
      </c>
      <c r="C28" s="96" t="s">
        <v>183</v>
      </c>
      <c r="D28" s="96" t="s">
        <v>184</v>
      </c>
      <c r="E28" s="122" t="s">
        <v>36</v>
      </c>
      <c r="F28" s="93" t="s">
        <v>16</v>
      </c>
      <c r="G28" s="88"/>
      <c r="H28" s="88"/>
      <c r="I28" s="88"/>
      <c r="J28" s="88"/>
      <c r="K28" s="100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49.5" customHeight="1" outlineLevel="1">
      <c r="A29" s="24" t="str">
        <f t="shared" si="2"/>
        <v>[UC02_Login-19]</v>
      </c>
      <c r="B29" s="90" t="s">
        <v>116</v>
      </c>
      <c r="C29" s="96" t="s">
        <v>185</v>
      </c>
      <c r="D29" s="96" t="s">
        <v>186</v>
      </c>
      <c r="E29" s="122" t="s">
        <v>36</v>
      </c>
      <c r="F29" s="93" t="s">
        <v>16</v>
      </c>
      <c r="G29" s="88"/>
      <c r="H29" s="88"/>
      <c r="I29" s="88"/>
      <c r="J29" s="88"/>
      <c r="K29" s="100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5.75" customHeight="1">
      <c r="A30" s="117"/>
      <c r="B30" s="118" t="s">
        <v>119</v>
      </c>
      <c r="C30" s="117"/>
      <c r="D30" s="117"/>
      <c r="E30" s="119"/>
      <c r="F30" s="117"/>
      <c r="G30" s="117"/>
      <c r="H30" s="117"/>
      <c r="I30" s="117"/>
      <c r="J30" s="117"/>
      <c r="K30" s="100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37.5" customHeight="1" outlineLevel="1">
      <c r="A31" s="88" t="str">
        <f t="shared" ref="A31:A37" si="3">IF(OR(C31&lt;&gt;"",D31&lt;&gt;""),"["&amp;TEXT($B$2,"##")&amp;"-"&amp;TEXT(ROW()-10-1,"##")&amp;"]","")</f>
        <v>[UC02_Login-20]</v>
      </c>
      <c r="B31" s="96" t="s">
        <v>187</v>
      </c>
      <c r="C31" s="96" t="s">
        <v>188</v>
      </c>
      <c r="D31" s="96" t="s">
        <v>189</v>
      </c>
      <c r="E31" s="122" t="s">
        <v>36</v>
      </c>
      <c r="F31" s="93" t="s">
        <v>16</v>
      </c>
      <c r="G31" s="88"/>
      <c r="H31" s="88"/>
      <c r="I31" s="88"/>
      <c r="J31" s="88"/>
      <c r="K31" s="100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29.25" customHeight="1" outlineLevel="1">
      <c r="A32" s="88" t="str">
        <f t="shared" si="3"/>
        <v>[UC02_Login-21]</v>
      </c>
      <c r="B32" s="96" t="s">
        <v>190</v>
      </c>
      <c r="C32" s="96" t="s">
        <v>191</v>
      </c>
      <c r="D32" s="96" t="s">
        <v>192</v>
      </c>
      <c r="E32" s="122" t="s">
        <v>36</v>
      </c>
      <c r="F32" s="93" t="s">
        <v>16</v>
      </c>
      <c r="G32" s="88"/>
      <c r="H32" s="88"/>
      <c r="I32" s="88"/>
      <c r="J32" s="88"/>
      <c r="K32" s="100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38.25" customHeight="1" outlineLevel="1">
      <c r="A33" s="88" t="str">
        <f t="shared" si="3"/>
        <v>[UC02_Login-22]</v>
      </c>
      <c r="B33" s="96" t="s">
        <v>193</v>
      </c>
      <c r="C33" s="96" t="s">
        <v>194</v>
      </c>
      <c r="D33" s="96" t="s">
        <v>195</v>
      </c>
      <c r="E33" s="122" t="s">
        <v>34</v>
      </c>
      <c r="F33" s="93" t="s">
        <v>16</v>
      </c>
      <c r="G33" s="88"/>
      <c r="H33" s="88"/>
      <c r="I33" s="88"/>
      <c r="J33" s="88"/>
      <c r="K33" s="100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28.5" customHeight="1" outlineLevel="1">
      <c r="A34" s="88" t="str">
        <f t="shared" si="3"/>
        <v>[UC02_Login-23]</v>
      </c>
      <c r="B34" s="96" t="s">
        <v>196</v>
      </c>
      <c r="C34" s="96" t="s">
        <v>197</v>
      </c>
      <c r="D34" s="96" t="s">
        <v>198</v>
      </c>
      <c r="E34" s="122" t="s">
        <v>36</v>
      </c>
      <c r="F34" s="93" t="s">
        <v>16</v>
      </c>
      <c r="G34" s="88"/>
      <c r="H34" s="88"/>
      <c r="I34" s="88"/>
      <c r="J34" s="88"/>
      <c r="K34" s="125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</row>
    <row r="35" ht="44.25" customHeight="1">
      <c r="A35" s="88" t="str">
        <f t="shared" si="3"/>
        <v>[UC02_Login-24]</v>
      </c>
      <c r="B35" s="96" t="s">
        <v>199</v>
      </c>
      <c r="C35" s="96" t="s">
        <v>200</v>
      </c>
      <c r="D35" s="123" t="s">
        <v>201</v>
      </c>
      <c r="E35" s="122" t="s">
        <v>34</v>
      </c>
      <c r="F35" s="93" t="s">
        <v>17</v>
      </c>
      <c r="G35" s="123" t="s">
        <v>202</v>
      </c>
      <c r="H35" s="123" t="s">
        <v>62</v>
      </c>
      <c r="I35" s="124">
        <v>46100.0</v>
      </c>
      <c r="J35" s="106"/>
      <c r="K35" s="12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</row>
    <row r="36" ht="30.75" customHeight="1">
      <c r="A36" s="88" t="str">
        <f t="shared" si="3"/>
        <v>[UC02_Login-25]</v>
      </c>
      <c r="B36" s="96" t="s">
        <v>203</v>
      </c>
      <c r="C36" s="96" t="s">
        <v>204</v>
      </c>
      <c r="D36" s="123" t="s">
        <v>205</v>
      </c>
      <c r="E36" s="122" t="s">
        <v>36</v>
      </c>
      <c r="F36" s="93" t="s">
        <v>16</v>
      </c>
      <c r="G36" s="106"/>
      <c r="H36" s="106"/>
      <c r="I36" s="106"/>
      <c r="J36" s="106"/>
      <c r="K36" s="12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</row>
    <row r="37" ht="29.25" customHeight="1">
      <c r="A37" s="88" t="str">
        <f t="shared" si="3"/>
        <v>[UC02_Login-26]</v>
      </c>
      <c r="B37" s="96" t="s">
        <v>206</v>
      </c>
      <c r="C37" s="96" t="s">
        <v>207</v>
      </c>
      <c r="D37" s="127" t="s">
        <v>208</v>
      </c>
      <c r="E37" s="122" t="s">
        <v>36</v>
      </c>
      <c r="F37" s="93" t="s">
        <v>16</v>
      </c>
      <c r="G37" s="108"/>
      <c r="H37" s="108"/>
      <c r="I37" s="108"/>
      <c r="J37" s="108"/>
      <c r="K37" s="109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</row>
    <row r="38" ht="12.75" customHeight="1">
      <c r="A38" s="1"/>
      <c r="B38" s="113"/>
      <c r="C38" s="1"/>
      <c r="D38" s="1"/>
      <c r="E38" s="128"/>
      <c r="F38" s="1"/>
      <c r="G38" s="1"/>
      <c r="H38" s="1"/>
      <c r="I38" s="1"/>
      <c r="J38" s="1"/>
      <c r="K38" s="100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2.75" customHeight="1">
      <c r="A39" s="1"/>
      <c r="B39" s="113"/>
      <c r="C39" s="1"/>
      <c r="D39" s="1"/>
      <c r="E39" s="128"/>
      <c r="F39" s="1"/>
      <c r="G39" s="1"/>
      <c r="H39" s="1"/>
      <c r="I39" s="1"/>
      <c r="J39" s="1"/>
      <c r="K39" s="100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2.75" customHeight="1">
      <c r="A40" s="1"/>
      <c r="B40" s="113"/>
      <c r="C40" s="1"/>
      <c r="D40" s="1"/>
      <c r="E40" s="128"/>
      <c r="F40" s="1"/>
      <c r="G40" s="1"/>
      <c r="H40" s="1"/>
      <c r="I40" s="1"/>
      <c r="J40" s="1"/>
      <c r="K40" s="100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2.75" customHeight="1">
      <c r="A41" s="1"/>
      <c r="B41" s="113"/>
      <c r="C41" s="1"/>
      <c r="D41" s="1"/>
      <c r="E41" s="128"/>
      <c r="F41" s="1"/>
      <c r="G41" s="1"/>
      <c r="H41" s="1"/>
      <c r="I41" s="1"/>
      <c r="J41" s="1"/>
      <c r="K41" s="100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2.75" customHeight="1">
      <c r="A42" s="1"/>
      <c r="B42" s="113"/>
      <c r="C42" s="1"/>
      <c r="D42" s="1"/>
      <c r="E42" s="128"/>
      <c r="F42" s="1"/>
      <c r="G42" s="1"/>
      <c r="H42" s="1"/>
      <c r="I42" s="1"/>
      <c r="J42" s="1"/>
      <c r="K42" s="100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2.75" customHeight="1">
      <c r="A43" s="1"/>
      <c r="B43" s="113"/>
      <c r="C43" s="1"/>
      <c r="D43" s="1"/>
      <c r="E43" s="128"/>
      <c r="F43" s="1"/>
      <c r="G43" s="1"/>
      <c r="H43" s="1"/>
      <c r="I43" s="1"/>
      <c r="J43" s="1"/>
      <c r="K43" s="100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2.75" customHeight="1">
      <c r="A44" s="1"/>
      <c r="B44" s="113"/>
      <c r="C44" s="1"/>
      <c r="D44" s="1"/>
      <c r="E44" s="128"/>
      <c r="F44" s="1"/>
      <c r="G44" s="1"/>
      <c r="H44" s="1"/>
      <c r="I44" s="1"/>
      <c r="J44" s="1"/>
      <c r="K44" s="100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2.75" customHeight="1">
      <c r="A45" s="1"/>
      <c r="B45" s="113"/>
      <c r="C45" s="1"/>
      <c r="D45" s="1"/>
      <c r="E45" s="128"/>
      <c r="F45" s="1"/>
      <c r="G45" s="1"/>
      <c r="H45" s="1"/>
      <c r="I45" s="1"/>
      <c r="J45" s="1"/>
      <c r="K45" s="100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2.75" customHeight="1">
      <c r="A46" s="1"/>
      <c r="B46" s="113"/>
      <c r="C46" s="1"/>
      <c r="D46" s="1"/>
      <c r="E46" s="128"/>
      <c r="F46" s="1"/>
      <c r="G46" s="1"/>
      <c r="H46" s="1"/>
      <c r="I46" s="1"/>
      <c r="J46" s="1"/>
      <c r="K46" s="100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2.75" customHeight="1">
      <c r="A47" s="1"/>
      <c r="B47" s="113"/>
      <c r="C47" s="1"/>
      <c r="D47" s="1"/>
      <c r="E47" s="128"/>
      <c r="F47" s="1"/>
      <c r="G47" s="1"/>
      <c r="H47" s="1"/>
      <c r="I47" s="1"/>
      <c r="J47" s="1"/>
      <c r="K47" s="100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2.75" customHeight="1">
      <c r="A48" s="1"/>
      <c r="B48" s="113"/>
      <c r="C48" s="1"/>
      <c r="D48" s="1"/>
      <c r="E48" s="128"/>
      <c r="F48" s="1"/>
      <c r="G48" s="1"/>
      <c r="H48" s="1"/>
      <c r="I48" s="1"/>
      <c r="J48" s="1"/>
      <c r="K48" s="100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2.75" customHeight="1">
      <c r="A49" s="1"/>
      <c r="B49" s="113"/>
      <c r="C49" s="1"/>
      <c r="D49" s="1"/>
      <c r="E49" s="128"/>
      <c r="F49" s="1"/>
      <c r="G49" s="1"/>
      <c r="H49" s="1"/>
      <c r="I49" s="1"/>
      <c r="J49" s="1"/>
      <c r="K49" s="100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2.75" customHeight="1">
      <c r="A50" s="1"/>
      <c r="B50" s="113"/>
      <c r="C50" s="1"/>
      <c r="D50" s="1"/>
      <c r="E50" s="128"/>
      <c r="F50" s="1"/>
      <c r="G50" s="1"/>
      <c r="H50" s="1"/>
      <c r="I50" s="1"/>
      <c r="J50" s="1"/>
      <c r="K50" s="100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2.75" customHeight="1">
      <c r="A51" s="1"/>
      <c r="B51" s="113"/>
      <c r="C51" s="1"/>
      <c r="D51" s="1"/>
      <c r="E51" s="128"/>
      <c r="F51" s="1"/>
      <c r="G51" s="1"/>
      <c r="H51" s="1"/>
      <c r="I51" s="1"/>
      <c r="J51" s="1"/>
      <c r="K51" s="100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2.75" customHeight="1">
      <c r="A52" s="1"/>
      <c r="B52" s="113"/>
      <c r="C52" s="1"/>
      <c r="D52" s="1"/>
      <c r="E52" s="128"/>
      <c r="F52" s="1"/>
      <c r="G52" s="1"/>
      <c r="H52" s="1"/>
      <c r="I52" s="1"/>
      <c r="J52" s="1"/>
      <c r="K52" s="100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2.75" customHeight="1">
      <c r="A53" s="1"/>
      <c r="B53" s="113"/>
      <c r="C53" s="1"/>
      <c r="D53" s="1"/>
      <c r="E53" s="128"/>
      <c r="F53" s="1"/>
      <c r="G53" s="1"/>
      <c r="H53" s="1"/>
      <c r="I53" s="1"/>
      <c r="J53" s="1"/>
      <c r="K53" s="100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2.75" customHeight="1">
      <c r="A54" s="1"/>
      <c r="B54" s="113"/>
      <c r="C54" s="1"/>
      <c r="D54" s="1"/>
      <c r="E54" s="128"/>
      <c r="F54" s="1"/>
      <c r="G54" s="1"/>
      <c r="H54" s="1"/>
      <c r="I54" s="1"/>
      <c r="J54" s="1"/>
      <c r="K54" s="100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2.75" customHeight="1">
      <c r="A55" s="1"/>
      <c r="B55" s="113"/>
      <c r="C55" s="1"/>
      <c r="D55" s="1"/>
      <c r="E55" s="128"/>
      <c r="F55" s="1"/>
      <c r="G55" s="1"/>
      <c r="H55" s="1"/>
      <c r="I55" s="1"/>
      <c r="J55" s="1"/>
      <c r="K55" s="100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2.75" customHeight="1">
      <c r="A56" s="1"/>
      <c r="B56" s="113"/>
      <c r="C56" s="1"/>
      <c r="D56" s="1"/>
      <c r="E56" s="128"/>
      <c r="F56" s="1"/>
      <c r="G56" s="1"/>
      <c r="H56" s="1"/>
      <c r="I56" s="1"/>
      <c r="J56" s="1"/>
      <c r="K56" s="100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2.75" customHeight="1">
      <c r="A57" s="1"/>
      <c r="B57" s="113"/>
      <c r="C57" s="1"/>
      <c r="D57" s="1"/>
      <c r="E57" s="128"/>
      <c r="F57" s="1"/>
      <c r="G57" s="1"/>
      <c r="H57" s="1"/>
      <c r="I57" s="1"/>
      <c r="J57" s="1"/>
      <c r="K57" s="100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2.75" customHeight="1">
      <c r="A58" s="1"/>
      <c r="B58" s="113"/>
      <c r="C58" s="1"/>
      <c r="D58" s="1"/>
      <c r="E58" s="128"/>
      <c r="F58" s="1"/>
      <c r="G58" s="1"/>
      <c r="H58" s="1"/>
      <c r="I58" s="1"/>
      <c r="J58" s="1"/>
      <c r="K58" s="100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2.75" customHeight="1">
      <c r="A59" s="1"/>
      <c r="B59" s="113"/>
      <c r="C59" s="1"/>
      <c r="D59" s="1"/>
      <c r="E59" s="128"/>
      <c r="F59" s="1"/>
      <c r="G59" s="1"/>
      <c r="H59" s="1"/>
      <c r="I59" s="1"/>
      <c r="J59" s="1"/>
      <c r="K59" s="10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2.75" customHeight="1">
      <c r="A60" s="1"/>
      <c r="B60" s="113"/>
      <c r="C60" s="1"/>
      <c r="D60" s="1"/>
      <c r="E60" s="128"/>
      <c r="F60" s="1"/>
      <c r="G60" s="1"/>
      <c r="H60" s="1"/>
      <c r="I60" s="1"/>
      <c r="J60" s="1"/>
      <c r="K60" s="10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2.75" customHeight="1">
      <c r="A61" s="1"/>
      <c r="B61" s="113"/>
      <c r="C61" s="1"/>
      <c r="D61" s="1"/>
      <c r="E61" s="128"/>
      <c r="F61" s="1"/>
      <c r="G61" s="1"/>
      <c r="H61" s="1"/>
      <c r="I61" s="1"/>
      <c r="J61" s="1"/>
      <c r="K61" s="10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2.75" customHeight="1">
      <c r="A62" s="1"/>
      <c r="B62" s="113"/>
      <c r="C62" s="1"/>
      <c r="D62" s="1"/>
      <c r="E62" s="128"/>
      <c r="F62" s="1"/>
      <c r="G62" s="1"/>
      <c r="H62" s="1"/>
      <c r="I62" s="1"/>
      <c r="J62" s="1"/>
      <c r="K62" s="100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2.75" customHeight="1">
      <c r="A63" s="1"/>
      <c r="B63" s="113"/>
      <c r="C63" s="1"/>
      <c r="D63" s="1"/>
      <c r="E63" s="128"/>
      <c r="F63" s="1"/>
      <c r="G63" s="1"/>
      <c r="H63" s="1"/>
      <c r="I63" s="1"/>
      <c r="J63" s="1"/>
      <c r="K63" s="100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2.75" customHeight="1">
      <c r="A64" s="1"/>
      <c r="B64" s="113"/>
      <c r="C64" s="1"/>
      <c r="D64" s="1"/>
      <c r="E64" s="128"/>
      <c r="F64" s="1"/>
      <c r="G64" s="1"/>
      <c r="H64" s="1"/>
      <c r="I64" s="1"/>
      <c r="J64" s="1"/>
      <c r="K64" s="10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2.75" customHeight="1">
      <c r="A65" s="1"/>
      <c r="B65" s="113"/>
      <c r="C65" s="1"/>
      <c r="D65" s="1"/>
      <c r="E65" s="128"/>
      <c r="F65" s="1"/>
      <c r="G65" s="1"/>
      <c r="H65" s="1"/>
      <c r="I65" s="1"/>
      <c r="J65" s="1"/>
      <c r="K65" s="100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2.75" customHeight="1">
      <c r="A66" s="1"/>
      <c r="B66" s="113"/>
      <c r="C66" s="1"/>
      <c r="D66" s="1"/>
      <c r="E66" s="128"/>
      <c r="F66" s="1"/>
      <c r="G66" s="1"/>
      <c r="H66" s="1"/>
      <c r="I66" s="1"/>
      <c r="J66" s="1"/>
      <c r="K66" s="10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2.75" customHeight="1">
      <c r="A67" s="1"/>
      <c r="B67" s="113"/>
      <c r="C67" s="1"/>
      <c r="D67" s="1"/>
      <c r="E67" s="128"/>
      <c r="F67" s="1"/>
      <c r="G67" s="1"/>
      <c r="H67" s="1"/>
      <c r="I67" s="1"/>
      <c r="J67" s="1"/>
      <c r="K67" s="100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2.75" customHeight="1">
      <c r="A68" s="1"/>
      <c r="B68" s="113"/>
      <c r="C68" s="1"/>
      <c r="D68" s="1"/>
      <c r="E68" s="128"/>
      <c r="F68" s="1"/>
      <c r="G68" s="1"/>
      <c r="H68" s="1"/>
      <c r="I68" s="1"/>
      <c r="J68" s="1"/>
      <c r="K68" s="10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2.75" customHeight="1">
      <c r="A69" s="1"/>
      <c r="B69" s="113"/>
      <c r="C69" s="1"/>
      <c r="D69" s="1"/>
      <c r="E69" s="128"/>
      <c r="F69" s="1"/>
      <c r="G69" s="1"/>
      <c r="H69" s="1"/>
      <c r="I69" s="1"/>
      <c r="J69" s="1"/>
      <c r="K69" s="10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2.75" customHeight="1">
      <c r="A70" s="1"/>
      <c r="B70" s="113"/>
      <c r="C70" s="1"/>
      <c r="D70" s="1"/>
      <c r="E70" s="128"/>
      <c r="F70" s="1"/>
      <c r="G70" s="1"/>
      <c r="H70" s="1"/>
      <c r="I70" s="1"/>
      <c r="J70" s="1"/>
      <c r="K70" s="100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2.75" customHeight="1">
      <c r="A71" s="1"/>
      <c r="B71" s="113"/>
      <c r="C71" s="1"/>
      <c r="D71" s="1"/>
      <c r="E71" s="128"/>
      <c r="F71" s="1"/>
      <c r="G71" s="1"/>
      <c r="H71" s="1"/>
      <c r="I71" s="1"/>
      <c r="J71" s="1"/>
      <c r="K71" s="10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2.75" customHeight="1">
      <c r="A72" s="1"/>
      <c r="B72" s="113"/>
      <c r="C72" s="1"/>
      <c r="D72" s="1"/>
      <c r="E72" s="128"/>
      <c r="F72" s="1"/>
      <c r="G72" s="1"/>
      <c r="H72" s="1"/>
      <c r="I72" s="1"/>
      <c r="J72" s="1"/>
      <c r="K72" s="100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2.75" customHeight="1">
      <c r="A73" s="1"/>
      <c r="B73" s="113"/>
      <c r="C73" s="1"/>
      <c r="D73" s="1"/>
      <c r="E73" s="128"/>
      <c r="F73" s="1"/>
      <c r="G73" s="1"/>
      <c r="H73" s="1"/>
      <c r="I73" s="1"/>
      <c r="J73" s="1"/>
      <c r="K73" s="10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2.75" customHeight="1">
      <c r="A74" s="1"/>
      <c r="B74" s="113"/>
      <c r="C74" s="1"/>
      <c r="D74" s="1"/>
      <c r="E74" s="128"/>
      <c r="F74" s="1"/>
      <c r="G74" s="1"/>
      <c r="H74" s="1"/>
      <c r="I74" s="1"/>
      <c r="J74" s="1"/>
      <c r="K74" s="10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2.75" customHeight="1">
      <c r="A75" s="1"/>
      <c r="B75" s="113"/>
      <c r="C75" s="1"/>
      <c r="D75" s="1"/>
      <c r="E75" s="128"/>
      <c r="F75" s="1"/>
      <c r="G75" s="1"/>
      <c r="H75" s="1"/>
      <c r="I75" s="1"/>
      <c r="J75" s="1"/>
      <c r="K75" s="100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2.75" customHeight="1">
      <c r="A76" s="1"/>
      <c r="B76" s="113"/>
      <c r="C76" s="1"/>
      <c r="D76" s="1"/>
      <c r="E76" s="128"/>
      <c r="F76" s="1"/>
      <c r="G76" s="1"/>
      <c r="H76" s="1"/>
      <c r="I76" s="1"/>
      <c r="J76" s="1"/>
      <c r="K76" s="100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2.75" customHeight="1">
      <c r="A77" s="1"/>
      <c r="B77" s="113"/>
      <c r="C77" s="1"/>
      <c r="D77" s="1"/>
      <c r="E77" s="128"/>
      <c r="F77" s="1"/>
      <c r="G77" s="1"/>
      <c r="H77" s="1"/>
      <c r="I77" s="1"/>
      <c r="J77" s="1"/>
      <c r="K77" s="100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2.75" customHeight="1">
      <c r="A78" s="1"/>
      <c r="B78" s="113"/>
      <c r="C78" s="1"/>
      <c r="D78" s="1"/>
      <c r="E78" s="128"/>
      <c r="F78" s="1"/>
      <c r="G78" s="1"/>
      <c r="H78" s="1"/>
      <c r="I78" s="1"/>
      <c r="J78" s="1"/>
      <c r="K78" s="10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2.75" customHeight="1">
      <c r="A79" s="1"/>
      <c r="B79" s="113"/>
      <c r="C79" s="1"/>
      <c r="D79" s="1"/>
      <c r="E79" s="128"/>
      <c r="F79" s="1"/>
      <c r="G79" s="1"/>
      <c r="H79" s="1"/>
      <c r="I79" s="1"/>
      <c r="J79" s="1"/>
      <c r="K79" s="10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2.75" customHeight="1">
      <c r="A80" s="1"/>
      <c r="B80" s="113"/>
      <c r="C80" s="1"/>
      <c r="D80" s="1"/>
      <c r="E80" s="128"/>
      <c r="F80" s="1"/>
      <c r="G80" s="1"/>
      <c r="H80" s="1"/>
      <c r="I80" s="1"/>
      <c r="J80" s="1"/>
      <c r="K80" s="100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2.75" customHeight="1">
      <c r="A81" s="1"/>
      <c r="B81" s="113"/>
      <c r="C81" s="1"/>
      <c r="D81" s="1"/>
      <c r="E81" s="128"/>
      <c r="F81" s="1"/>
      <c r="G81" s="1"/>
      <c r="H81" s="1"/>
      <c r="I81" s="1"/>
      <c r="J81" s="1"/>
      <c r="K81" s="100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2.75" customHeight="1">
      <c r="A82" s="1"/>
      <c r="B82" s="113"/>
      <c r="C82" s="1"/>
      <c r="D82" s="1"/>
      <c r="E82" s="128"/>
      <c r="F82" s="1"/>
      <c r="G82" s="1"/>
      <c r="H82" s="1"/>
      <c r="I82" s="1"/>
      <c r="J82" s="1"/>
      <c r="K82" s="100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2.75" customHeight="1">
      <c r="A83" s="1"/>
      <c r="B83" s="113"/>
      <c r="C83" s="1"/>
      <c r="D83" s="1"/>
      <c r="E83" s="128"/>
      <c r="F83" s="1"/>
      <c r="G83" s="1"/>
      <c r="H83" s="1"/>
      <c r="I83" s="1"/>
      <c r="J83" s="1"/>
      <c r="K83" s="100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2.75" customHeight="1">
      <c r="A84" s="1"/>
      <c r="B84" s="113"/>
      <c r="C84" s="1"/>
      <c r="D84" s="1"/>
      <c r="E84" s="128"/>
      <c r="F84" s="1"/>
      <c r="G84" s="1"/>
      <c r="H84" s="1"/>
      <c r="I84" s="1"/>
      <c r="J84" s="1"/>
      <c r="K84" s="100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2.75" customHeight="1">
      <c r="A85" s="1"/>
      <c r="B85" s="113"/>
      <c r="C85" s="1"/>
      <c r="D85" s="1"/>
      <c r="E85" s="128"/>
      <c r="F85" s="1"/>
      <c r="G85" s="1"/>
      <c r="H85" s="1"/>
      <c r="I85" s="1"/>
      <c r="J85" s="1"/>
      <c r="K85" s="100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2.75" customHeight="1">
      <c r="A86" s="1"/>
      <c r="B86" s="113"/>
      <c r="C86" s="1"/>
      <c r="D86" s="1"/>
      <c r="E86" s="128"/>
      <c r="F86" s="1"/>
      <c r="G86" s="1"/>
      <c r="H86" s="1"/>
      <c r="I86" s="1"/>
      <c r="J86" s="1"/>
      <c r="K86" s="100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2.75" customHeight="1">
      <c r="A87" s="1"/>
      <c r="B87" s="113"/>
      <c r="C87" s="1"/>
      <c r="D87" s="1"/>
      <c r="E87" s="128"/>
      <c r="F87" s="1"/>
      <c r="G87" s="1"/>
      <c r="H87" s="1"/>
      <c r="I87" s="1"/>
      <c r="J87" s="1"/>
      <c r="K87" s="100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2.75" customHeight="1">
      <c r="A88" s="1"/>
      <c r="B88" s="113"/>
      <c r="C88" s="1"/>
      <c r="D88" s="1"/>
      <c r="E88" s="128"/>
      <c r="F88" s="1"/>
      <c r="G88" s="1"/>
      <c r="H88" s="1"/>
      <c r="I88" s="1"/>
      <c r="J88" s="1"/>
      <c r="K88" s="100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2.75" customHeight="1">
      <c r="A89" s="1"/>
      <c r="B89" s="113"/>
      <c r="C89" s="1"/>
      <c r="D89" s="1"/>
      <c r="E89" s="128"/>
      <c r="F89" s="1"/>
      <c r="G89" s="1"/>
      <c r="H89" s="1"/>
      <c r="I89" s="1"/>
      <c r="J89" s="1"/>
      <c r="K89" s="100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2.75" customHeight="1">
      <c r="A90" s="1"/>
      <c r="B90" s="113"/>
      <c r="C90" s="1"/>
      <c r="D90" s="1"/>
      <c r="E90" s="128"/>
      <c r="F90" s="1"/>
      <c r="G90" s="1"/>
      <c r="H90" s="1"/>
      <c r="I90" s="1"/>
      <c r="J90" s="1"/>
      <c r="K90" s="100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2.75" customHeight="1">
      <c r="A91" s="1"/>
      <c r="B91" s="113"/>
      <c r="C91" s="1"/>
      <c r="D91" s="1"/>
      <c r="E91" s="128"/>
      <c r="F91" s="1"/>
      <c r="G91" s="1"/>
      <c r="H91" s="1"/>
      <c r="I91" s="1"/>
      <c r="J91" s="1"/>
      <c r="K91" s="100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2.75" customHeight="1">
      <c r="A92" s="1"/>
      <c r="B92" s="113"/>
      <c r="C92" s="1"/>
      <c r="D92" s="1"/>
      <c r="E92" s="128"/>
      <c r="F92" s="1"/>
      <c r="G92" s="1"/>
      <c r="H92" s="1"/>
      <c r="I92" s="1"/>
      <c r="J92" s="1"/>
      <c r="K92" s="100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2.75" customHeight="1">
      <c r="A93" s="1"/>
      <c r="B93" s="113"/>
      <c r="C93" s="1"/>
      <c r="D93" s="1"/>
      <c r="E93" s="128"/>
      <c r="F93" s="1"/>
      <c r="G93" s="1"/>
      <c r="H93" s="1"/>
      <c r="I93" s="1"/>
      <c r="J93" s="1"/>
      <c r="K93" s="100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2.75" customHeight="1">
      <c r="A94" s="1"/>
      <c r="B94" s="113"/>
      <c r="C94" s="1"/>
      <c r="D94" s="1"/>
      <c r="E94" s="128"/>
      <c r="F94" s="1"/>
      <c r="G94" s="1"/>
      <c r="H94" s="1"/>
      <c r="I94" s="1"/>
      <c r="J94" s="1"/>
      <c r="K94" s="100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2.75" customHeight="1">
      <c r="A95" s="1"/>
      <c r="B95" s="113"/>
      <c r="C95" s="1"/>
      <c r="D95" s="1"/>
      <c r="E95" s="128"/>
      <c r="F95" s="1"/>
      <c r="G95" s="1"/>
      <c r="H95" s="1"/>
      <c r="I95" s="1"/>
      <c r="J95" s="1"/>
      <c r="K95" s="100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2.75" customHeight="1">
      <c r="A96" s="1"/>
      <c r="B96" s="113"/>
      <c r="C96" s="1"/>
      <c r="D96" s="1"/>
      <c r="E96" s="128"/>
      <c r="F96" s="1"/>
      <c r="G96" s="1"/>
      <c r="H96" s="1"/>
      <c r="I96" s="1"/>
      <c r="J96" s="1"/>
      <c r="K96" s="100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2.75" customHeight="1">
      <c r="A97" s="1"/>
      <c r="B97" s="113"/>
      <c r="C97" s="1"/>
      <c r="D97" s="1"/>
      <c r="E97" s="128"/>
      <c r="F97" s="1"/>
      <c r="G97" s="1"/>
      <c r="H97" s="1"/>
      <c r="I97" s="1"/>
      <c r="J97" s="1"/>
      <c r="K97" s="100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2.75" customHeight="1">
      <c r="A98" s="1"/>
      <c r="B98" s="113"/>
      <c r="C98" s="1"/>
      <c r="D98" s="1"/>
      <c r="E98" s="128"/>
      <c r="F98" s="1"/>
      <c r="G98" s="1"/>
      <c r="H98" s="1"/>
      <c r="I98" s="1"/>
      <c r="J98" s="1"/>
      <c r="K98" s="100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2.75" customHeight="1">
      <c r="A99" s="1"/>
      <c r="B99" s="113"/>
      <c r="C99" s="1"/>
      <c r="D99" s="1"/>
      <c r="E99" s="128"/>
      <c r="F99" s="1"/>
      <c r="G99" s="1"/>
      <c r="H99" s="1"/>
      <c r="I99" s="1"/>
      <c r="J99" s="1"/>
      <c r="K99" s="100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2.75" customHeight="1">
      <c r="A100" s="1"/>
      <c r="B100" s="113"/>
      <c r="C100" s="1"/>
      <c r="D100" s="1"/>
      <c r="E100" s="128"/>
      <c r="F100" s="1"/>
      <c r="G100" s="1"/>
      <c r="H100" s="1"/>
      <c r="I100" s="1"/>
      <c r="J100" s="1"/>
      <c r="K100" s="100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2.75" customHeight="1">
      <c r="A101" s="1"/>
      <c r="B101" s="113"/>
      <c r="C101" s="1"/>
      <c r="D101" s="1"/>
      <c r="E101" s="128"/>
      <c r="F101" s="1"/>
      <c r="G101" s="1"/>
      <c r="H101" s="1"/>
      <c r="I101" s="1"/>
      <c r="J101" s="1"/>
      <c r="K101" s="100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2.75" customHeight="1">
      <c r="A102" s="1"/>
      <c r="B102" s="113"/>
      <c r="C102" s="1"/>
      <c r="D102" s="1"/>
      <c r="E102" s="128"/>
      <c r="F102" s="1"/>
      <c r="G102" s="1"/>
      <c r="H102" s="1"/>
      <c r="I102" s="1"/>
      <c r="J102" s="1"/>
      <c r="K102" s="100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2.75" customHeight="1">
      <c r="A103" s="1"/>
      <c r="B103" s="113"/>
      <c r="C103" s="1"/>
      <c r="D103" s="1"/>
      <c r="E103" s="128"/>
      <c r="F103" s="1"/>
      <c r="G103" s="1"/>
      <c r="H103" s="1"/>
      <c r="I103" s="1"/>
      <c r="J103" s="1"/>
      <c r="K103" s="100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2.75" customHeight="1">
      <c r="A104" s="1"/>
      <c r="B104" s="113"/>
      <c r="C104" s="1"/>
      <c r="D104" s="1"/>
      <c r="E104" s="128"/>
      <c r="F104" s="1"/>
      <c r="G104" s="1"/>
      <c r="H104" s="1"/>
      <c r="I104" s="1"/>
      <c r="J104" s="1"/>
      <c r="K104" s="100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2.75" customHeight="1">
      <c r="A105" s="1"/>
      <c r="B105" s="113"/>
      <c r="C105" s="1"/>
      <c r="D105" s="1"/>
      <c r="E105" s="128"/>
      <c r="F105" s="1"/>
      <c r="G105" s="1"/>
      <c r="H105" s="1"/>
      <c r="I105" s="1"/>
      <c r="J105" s="1"/>
      <c r="K105" s="100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2.75" customHeight="1">
      <c r="A106" s="1"/>
      <c r="B106" s="113"/>
      <c r="C106" s="1"/>
      <c r="D106" s="1"/>
      <c r="E106" s="128"/>
      <c r="F106" s="1"/>
      <c r="G106" s="1"/>
      <c r="H106" s="1"/>
      <c r="I106" s="1"/>
      <c r="J106" s="1"/>
      <c r="K106" s="100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2.75" customHeight="1">
      <c r="A107" s="1"/>
      <c r="B107" s="113"/>
      <c r="C107" s="1"/>
      <c r="D107" s="1"/>
      <c r="E107" s="128"/>
      <c r="F107" s="1"/>
      <c r="G107" s="1"/>
      <c r="H107" s="1"/>
      <c r="I107" s="1"/>
      <c r="J107" s="1"/>
      <c r="K107" s="100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2.75" customHeight="1">
      <c r="A108" s="1"/>
      <c r="B108" s="113"/>
      <c r="C108" s="1"/>
      <c r="D108" s="1"/>
      <c r="E108" s="128"/>
      <c r="F108" s="1"/>
      <c r="G108" s="1"/>
      <c r="H108" s="1"/>
      <c r="I108" s="1"/>
      <c r="J108" s="1"/>
      <c r="K108" s="100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2.75" customHeight="1">
      <c r="A109" s="1"/>
      <c r="B109" s="113"/>
      <c r="C109" s="1"/>
      <c r="D109" s="1"/>
      <c r="E109" s="128"/>
      <c r="F109" s="1"/>
      <c r="G109" s="1"/>
      <c r="H109" s="1"/>
      <c r="I109" s="1"/>
      <c r="J109" s="1"/>
      <c r="K109" s="100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2.75" customHeight="1">
      <c r="A110" s="1"/>
      <c r="B110" s="113"/>
      <c r="C110" s="1"/>
      <c r="D110" s="1"/>
      <c r="E110" s="128"/>
      <c r="F110" s="1"/>
      <c r="G110" s="1"/>
      <c r="H110" s="1"/>
      <c r="I110" s="1"/>
      <c r="J110" s="1"/>
      <c r="K110" s="100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2.75" customHeight="1">
      <c r="A111" s="1"/>
      <c r="B111" s="113"/>
      <c r="C111" s="1"/>
      <c r="D111" s="1"/>
      <c r="E111" s="128"/>
      <c r="F111" s="1"/>
      <c r="G111" s="1"/>
      <c r="H111" s="1"/>
      <c r="I111" s="1"/>
      <c r="J111" s="1"/>
      <c r="K111" s="100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2.75" customHeight="1">
      <c r="A112" s="1"/>
      <c r="B112" s="113"/>
      <c r="C112" s="1"/>
      <c r="D112" s="1"/>
      <c r="E112" s="128"/>
      <c r="F112" s="1"/>
      <c r="G112" s="1"/>
      <c r="H112" s="1"/>
      <c r="I112" s="1"/>
      <c r="J112" s="1"/>
      <c r="K112" s="100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2.75" customHeight="1">
      <c r="A113" s="1"/>
      <c r="B113" s="113"/>
      <c r="C113" s="1"/>
      <c r="D113" s="1"/>
      <c r="E113" s="128"/>
      <c r="F113" s="1"/>
      <c r="G113" s="1"/>
      <c r="H113" s="1"/>
      <c r="I113" s="1"/>
      <c r="J113" s="1"/>
      <c r="K113" s="100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2.75" customHeight="1">
      <c r="A114" s="1"/>
      <c r="B114" s="113"/>
      <c r="C114" s="1"/>
      <c r="D114" s="1"/>
      <c r="E114" s="128"/>
      <c r="F114" s="1"/>
      <c r="G114" s="1"/>
      <c r="H114" s="1"/>
      <c r="I114" s="1"/>
      <c r="J114" s="1"/>
      <c r="K114" s="100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2.75" customHeight="1">
      <c r="A115" s="1"/>
      <c r="B115" s="113"/>
      <c r="C115" s="1"/>
      <c r="D115" s="1"/>
      <c r="E115" s="128"/>
      <c r="F115" s="1"/>
      <c r="G115" s="1"/>
      <c r="H115" s="1"/>
      <c r="I115" s="1"/>
      <c r="J115" s="1"/>
      <c r="K115" s="100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2.75" customHeight="1">
      <c r="A116" s="1"/>
      <c r="B116" s="113"/>
      <c r="C116" s="1"/>
      <c r="D116" s="1"/>
      <c r="E116" s="128"/>
      <c r="F116" s="1"/>
      <c r="G116" s="1"/>
      <c r="H116" s="1"/>
      <c r="I116" s="1"/>
      <c r="J116" s="1"/>
      <c r="K116" s="100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2.75" customHeight="1">
      <c r="A117" s="1"/>
      <c r="B117" s="113"/>
      <c r="C117" s="1"/>
      <c r="D117" s="1"/>
      <c r="E117" s="128"/>
      <c r="F117" s="1"/>
      <c r="G117" s="1"/>
      <c r="H117" s="1"/>
      <c r="I117" s="1"/>
      <c r="J117" s="1"/>
      <c r="K117" s="100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2.75" customHeight="1">
      <c r="A118" s="1"/>
      <c r="B118" s="113"/>
      <c r="C118" s="1"/>
      <c r="D118" s="1"/>
      <c r="E118" s="128"/>
      <c r="F118" s="1"/>
      <c r="G118" s="1"/>
      <c r="H118" s="1"/>
      <c r="I118" s="1"/>
      <c r="J118" s="1"/>
      <c r="K118" s="100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2.75" customHeight="1">
      <c r="A119" s="1"/>
      <c r="B119" s="113"/>
      <c r="C119" s="1"/>
      <c r="D119" s="1"/>
      <c r="E119" s="128"/>
      <c r="F119" s="1"/>
      <c r="G119" s="1"/>
      <c r="H119" s="1"/>
      <c r="I119" s="1"/>
      <c r="J119" s="1"/>
      <c r="K119" s="100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2.75" customHeight="1">
      <c r="A120" s="1"/>
      <c r="B120" s="113"/>
      <c r="C120" s="1"/>
      <c r="D120" s="1"/>
      <c r="E120" s="128"/>
      <c r="F120" s="1"/>
      <c r="G120" s="1"/>
      <c r="H120" s="1"/>
      <c r="I120" s="1"/>
      <c r="J120" s="1"/>
      <c r="K120" s="100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2.75" customHeight="1">
      <c r="A121" s="1"/>
      <c r="B121" s="113"/>
      <c r="C121" s="1"/>
      <c r="D121" s="1"/>
      <c r="E121" s="128"/>
      <c r="F121" s="1"/>
      <c r="G121" s="1"/>
      <c r="H121" s="1"/>
      <c r="I121" s="1"/>
      <c r="J121" s="1"/>
      <c r="K121" s="100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2.75" customHeight="1">
      <c r="A122" s="1"/>
      <c r="B122" s="113"/>
      <c r="C122" s="1"/>
      <c r="D122" s="1"/>
      <c r="E122" s="128"/>
      <c r="F122" s="1"/>
      <c r="G122" s="1"/>
      <c r="H122" s="1"/>
      <c r="I122" s="1"/>
      <c r="J122" s="1"/>
      <c r="K122" s="100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2.75" customHeight="1">
      <c r="A123" s="1"/>
      <c r="B123" s="113"/>
      <c r="C123" s="1"/>
      <c r="D123" s="1"/>
      <c r="E123" s="128"/>
      <c r="F123" s="1"/>
      <c r="G123" s="1"/>
      <c r="H123" s="1"/>
      <c r="I123" s="1"/>
      <c r="J123" s="1"/>
      <c r="K123" s="100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2.75" customHeight="1">
      <c r="A124" s="1"/>
      <c r="B124" s="113"/>
      <c r="C124" s="1"/>
      <c r="D124" s="1"/>
      <c r="E124" s="128"/>
      <c r="F124" s="1"/>
      <c r="G124" s="1"/>
      <c r="H124" s="1"/>
      <c r="I124" s="1"/>
      <c r="J124" s="1"/>
      <c r="K124" s="100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2.75" customHeight="1">
      <c r="A125" s="1"/>
      <c r="B125" s="113"/>
      <c r="C125" s="1"/>
      <c r="D125" s="1"/>
      <c r="E125" s="128"/>
      <c r="F125" s="1"/>
      <c r="G125" s="1"/>
      <c r="H125" s="1"/>
      <c r="I125" s="1"/>
      <c r="J125" s="1"/>
      <c r="K125" s="100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2.75" customHeight="1">
      <c r="A126" s="1"/>
      <c r="B126" s="113"/>
      <c r="C126" s="1"/>
      <c r="D126" s="1"/>
      <c r="E126" s="128"/>
      <c r="F126" s="1"/>
      <c r="G126" s="1"/>
      <c r="H126" s="1"/>
      <c r="I126" s="1"/>
      <c r="J126" s="1"/>
      <c r="K126" s="100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2.75" customHeight="1">
      <c r="A127" s="1"/>
      <c r="B127" s="113"/>
      <c r="C127" s="1"/>
      <c r="D127" s="1"/>
      <c r="E127" s="128"/>
      <c r="F127" s="1"/>
      <c r="G127" s="1"/>
      <c r="H127" s="1"/>
      <c r="I127" s="1"/>
      <c r="J127" s="1"/>
      <c r="K127" s="100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2.75" customHeight="1">
      <c r="A128" s="1"/>
      <c r="B128" s="113"/>
      <c r="C128" s="1"/>
      <c r="D128" s="1"/>
      <c r="E128" s="128"/>
      <c r="F128" s="1"/>
      <c r="G128" s="1"/>
      <c r="H128" s="1"/>
      <c r="I128" s="1"/>
      <c r="J128" s="1"/>
      <c r="K128" s="100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2.75" customHeight="1">
      <c r="A129" s="1"/>
      <c r="B129" s="113"/>
      <c r="C129" s="1"/>
      <c r="D129" s="1"/>
      <c r="E129" s="128"/>
      <c r="F129" s="1"/>
      <c r="G129" s="1"/>
      <c r="H129" s="1"/>
      <c r="I129" s="1"/>
      <c r="J129" s="1"/>
      <c r="K129" s="100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2.75" customHeight="1">
      <c r="A130" s="1"/>
      <c r="B130" s="113"/>
      <c r="C130" s="1"/>
      <c r="D130" s="1"/>
      <c r="E130" s="128"/>
      <c r="F130" s="1"/>
      <c r="G130" s="1"/>
      <c r="H130" s="1"/>
      <c r="I130" s="1"/>
      <c r="J130" s="1"/>
      <c r="K130" s="100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2.75" customHeight="1">
      <c r="A131" s="1"/>
      <c r="B131" s="113"/>
      <c r="C131" s="1"/>
      <c r="D131" s="1"/>
      <c r="E131" s="128"/>
      <c r="F131" s="1"/>
      <c r="G131" s="1"/>
      <c r="H131" s="1"/>
      <c r="I131" s="1"/>
      <c r="J131" s="1"/>
      <c r="K131" s="100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2.75" customHeight="1">
      <c r="A132" s="1"/>
      <c r="B132" s="113"/>
      <c r="C132" s="1"/>
      <c r="D132" s="1"/>
      <c r="E132" s="128"/>
      <c r="F132" s="1"/>
      <c r="G132" s="1"/>
      <c r="H132" s="1"/>
      <c r="I132" s="1"/>
      <c r="J132" s="1"/>
      <c r="K132" s="100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2.75" customHeight="1">
      <c r="A133" s="1"/>
      <c r="B133" s="113"/>
      <c r="C133" s="1"/>
      <c r="D133" s="1"/>
      <c r="E133" s="128"/>
      <c r="F133" s="1"/>
      <c r="G133" s="1"/>
      <c r="H133" s="1"/>
      <c r="I133" s="1"/>
      <c r="J133" s="1"/>
      <c r="K133" s="100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2.75" customHeight="1">
      <c r="A134" s="1"/>
      <c r="B134" s="113"/>
      <c r="C134" s="1"/>
      <c r="D134" s="1"/>
      <c r="E134" s="128"/>
      <c r="F134" s="1"/>
      <c r="G134" s="1"/>
      <c r="H134" s="1"/>
      <c r="I134" s="1"/>
      <c r="J134" s="1"/>
      <c r="K134" s="100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2.75" customHeight="1">
      <c r="A135" s="1"/>
      <c r="B135" s="113"/>
      <c r="C135" s="1"/>
      <c r="D135" s="1"/>
      <c r="E135" s="128"/>
      <c r="F135" s="1"/>
      <c r="G135" s="1"/>
      <c r="H135" s="1"/>
      <c r="I135" s="1"/>
      <c r="J135" s="1"/>
      <c r="K135" s="100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2.75" customHeight="1">
      <c r="A136" s="1"/>
      <c r="B136" s="113"/>
      <c r="C136" s="1"/>
      <c r="D136" s="1"/>
      <c r="E136" s="128"/>
      <c r="F136" s="1"/>
      <c r="G136" s="1"/>
      <c r="H136" s="1"/>
      <c r="I136" s="1"/>
      <c r="J136" s="1"/>
      <c r="K136" s="100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2.75" customHeight="1">
      <c r="A137" s="1"/>
      <c r="B137" s="113"/>
      <c r="C137" s="1"/>
      <c r="D137" s="1"/>
      <c r="E137" s="128"/>
      <c r="F137" s="1"/>
      <c r="G137" s="1"/>
      <c r="H137" s="1"/>
      <c r="I137" s="1"/>
      <c r="J137" s="1"/>
      <c r="K137" s="100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2.75" customHeight="1">
      <c r="A138" s="1"/>
      <c r="B138" s="113"/>
      <c r="C138" s="1"/>
      <c r="D138" s="1"/>
      <c r="E138" s="128"/>
      <c r="F138" s="1"/>
      <c r="G138" s="1"/>
      <c r="H138" s="1"/>
      <c r="I138" s="1"/>
      <c r="J138" s="1"/>
      <c r="K138" s="100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2.75" customHeight="1">
      <c r="A139" s="1"/>
      <c r="B139" s="113"/>
      <c r="C139" s="1"/>
      <c r="D139" s="1"/>
      <c r="E139" s="128"/>
      <c r="F139" s="1"/>
      <c r="G139" s="1"/>
      <c r="H139" s="1"/>
      <c r="I139" s="1"/>
      <c r="J139" s="1"/>
      <c r="K139" s="100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2.75" customHeight="1">
      <c r="A140" s="1"/>
      <c r="B140" s="113"/>
      <c r="C140" s="1"/>
      <c r="D140" s="1"/>
      <c r="E140" s="128"/>
      <c r="F140" s="1"/>
      <c r="G140" s="1"/>
      <c r="H140" s="1"/>
      <c r="I140" s="1"/>
      <c r="J140" s="1"/>
      <c r="K140" s="100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2.75" customHeight="1">
      <c r="A141" s="1"/>
      <c r="B141" s="113"/>
      <c r="C141" s="1"/>
      <c r="D141" s="1"/>
      <c r="E141" s="128"/>
      <c r="F141" s="1"/>
      <c r="G141" s="1"/>
      <c r="H141" s="1"/>
      <c r="I141" s="1"/>
      <c r="J141" s="1"/>
      <c r="K141" s="100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2.75" customHeight="1">
      <c r="A142" s="1"/>
      <c r="B142" s="113"/>
      <c r="C142" s="1"/>
      <c r="D142" s="1"/>
      <c r="E142" s="128"/>
      <c r="F142" s="1"/>
      <c r="G142" s="1"/>
      <c r="H142" s="1"/>
      <c r="I142" s="1"/>
      <c r="J142" s="1"/>
      <c r="K142" s="100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2.75" customHeight="1">
      <c r="A143" s="1"/>
      <c r="B143" s="113"/>
      <c r="C143" s="1"/>
      <c r="D143" s="1"/>
      <c r="E143" s="128"/>
      <c r="F143" s="1"/>
      <c r="G143" s="1"/>
      <c r="H143" s="1"/>
      <c r="I143" s="1"/>
      <c r="J143" s="1"/>
      <c r="K143" s="100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2.75" customHeight="1">
      <c r="A144" s="1"/>
      <c r="B144" s="113"/>
      <c r="C144" s="1"/>
      <c r="D144" s="1"/>
      <c r="E144" s="128"/>
      <c r="F144" s="1"/>
      <c r="G144" s="1"/>
      <c r="H144" s="1"/>
      <c r="I144" s="1"/>
      <c r="J144" s="1"/>
      <c r="K144" s="100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2.75" customHeight="1">
      <c r="A145" s="1"/>
      <c r="B145" s="113"/>
      <c r="C145" s="1"/>
      <c r="D145" s="1"/>
      <c r="E145" s="128"/>
      <c r="F145" s="1"/>
      <c r="G145" s="1"/>
      <c r="H145" s="1"/>
      <c r="I145" s="1"/>
      <c r="J145" s="1"/>
      <c r="K145" s="100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2.75" customHeight="1">
      <c r="A146" s="1"/>
      <c r="B146" s="113"/>
      <c r="C146" s="1"/>
      <c r="D146" s="1"/>
      <c r="E146" s="128"/>
      <c r="F146" s="1"/>
      <c r="G146" s="1"/>
      <c r="H146" s="1"/>
      <c r="I146" s="1"/>
      <c r="J146" s="1"/>
      <c r="K146" s="100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2.75" customHeight="1">
      <c r="A147" s="1"/>
      <c r="B147" s="113"/>
      <c r="C147" s="1"/>
      <c r="D147" s="1"/>
      <c r="E147" s="128"/>
      <c r="F147" s="1"/>
      <c r="G147" s="1"/>
      <c r="H147" s="1"/>
      <c r="I147" s="1"/>
      <c r="J147" s="1"/>
      <c r="K147" s="100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2.75" customHeight="1">
      <c r="A148" s="1"/>
      <c r="B148" s="113"/>
      <c r="C148" s="1"/>
      <c r="D148" s="1"/>
      <c r="E148" s="128"/>
      <c r="F148" s="1"/>
      <c r="G148" s="1"/>
      <c r="H148" s="1"/>
      <c r="I148" s="1"/>
      <c r="J148" s="1"/>
      <c r="K148" s="100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2.75" customHeight="1">
      <c r="A149" s="1"/>
      <c r="B149" s="113"/>
      <c r="C149" s="1"/>
      <c r="D149" s="1"/>
      <c r="E149" s="128"/>
      <c r="F149" s="1"/>
      <c r="G149" s="1"/>
      <c r="H149" s="1"/>
      <c r="I149" s="1"/>
      <c r="J149" s="1"/>
      <c r="K149" s="100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2.75" customHeight="1">
      <c r="A150" s="1"/>
      <c r="B150" s="113"/>
      <c r="C150" s="1"/>
      <c r="D150" s="1"/>
      <c r="E150" s="128"/>
      <c r="F150" s="1"/>
      <c r="G150" s="1"/>
      <c r="H150" s="1"/>
      <c r="I150" s="1"/>
      <c r="J150" s="1"/>
      <c r="K150" s="100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2.75" customHeight="1">
      <c r="A151" s="1"/>
      <c r="B151" s="113"/>
      <c r="C151" s="1"/>
      <c r="D151" s="1"/>
      <c r="E151" s="128"/>
      <c r="F151" s="1"/>
      <c r="G151" s="1"/>
      <c r="H151" s="1"/>
      <c r="I151" s="1"/>
      <c r="J151" s="1"/>
      <c r="K151" s="100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2.75" customHeight="1">
      <c r="A152" s="1"/>
      <c r="B152" s="113"/>
      <c r="C152" s="1"/>
      <c r="D152" s="1"/>
      <c r="E152" s="128"/>
      <c r="F152" s="1"/>
      <c r="G152" s="1"/>
      <c r="H152" s="1"/>
      <c r="I152" s="1"/>
      <c r="J152" s="1"/>
      <c r="K152" s="100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2.75" customHeight="1">
      <c r="A153" s="1"/>
      <c r="B153" s="113"/>
      <c r="C153" s="1"/>
      <c r="D153" s="1"/>
      <c r="E153" s="128"/>
      <c r="F153" s="1"/>
      <c r="G153" s="1"/>
      <c r="H153" s="1"/>
      <c r="I153" s="1"/>
      <c r="J153" s="1"/>
      <c r="K153" s="100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2.75" customHeight="1">
      <c r="A154" s="1"/>
      <c r="B154" s="113"/>
      <c r="C154" s="1"/>
      <c r="D154" s="1"/>
      <c r="E154" s="128"/>
      <c r="F154" s="1"/>
      <c r="G154" s="1"/>
      <c r="H154" s="1"/>
      <c r="I154" s="1"/>
      <c r="J154" s="1"/>
      <c r="K154" s="100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2.75" customHeight="1">
      <c r="A155" s="1"/>
      <c r="B155" s="113"/>
      <c r="C155" s="1"/>
      <c r="D155" s="1"/>
      <c r="E155" s="128"/>
      <c r="F155" s="1"/>
      <c r="G155" s="1"/>
      <c r="H155" s="1"/>
      <c r="I155" s="1"/>
      <c r="J155" s="1"/>
      <c r="K155" s="100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2.75" customHeight="1">
      <c r="A156" s="1"/>
      <c r="B156" s="113"/>
      <c r="C156" s="1"/>
      <c r="D156" s="1"/>
      <c r="E156" s="128"/>
      <c r="F156" s="1"/>
      <c r="G156" s="1"/>
      <c r="H156" s="1"/>
      <c r="I156" s="1"/>
      <c r="J156" s="1"/>
      <c r="K156" s="100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2.75" customHeight="1">
      <c r="A157" s="1"/>
      <c r="B157" s="113"/>
      <c r="C157" s="1"/>
      <c r="D157" s="1"/>
      <c r="E157" s="128"/>
      <c r="F157" s="1"/>
      <c r="G157" s="1"/>
      <c r="H157" s="1"/>
      <c r="I157" s="1"/>
      <c r="J157" s="1"/>
      <c r="K157" s="100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2.75" customHeight="1">
      <c r="A158" s="1"/>
      <c r="B158" s="113"/>
      <c r="C158" s="1"/>
      <c r="D158" s="1"/>
      <c r="E158" s="128"/>
      <c r="F158" s="1"/>
      <c r="G158" s="1"/>
      <c r="H158" s="1"/>
      <c r="I158" s="1"/>
      <c r="J158" s="1"/>
      <c r="K158" s="100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2.75" customHeight="1">
      <c r="A159" s="1"/>
      <c r="B159" s="113"/>
      <c r="C159" s="1"/>
      <c r="D159" s="1"/>
      <c r="E159" s="128"/>
      <c r="F159" s="1"/>
      <c r="G159" s="1"/>
      <c r="H159" s="1"/>
      <c r="I159" s="1"/>
      <c r="J159" s="1"/>
      <c r="K159" s="100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2.75" customHeight="1">
      <c r="A160" s="1"/>
      <c r="B160" s="113"/>
      <c r="C160" s="1"/>
      <c r="D160" s="1"/>
      <c r="E160" s="128"/>
      <c r="F160" s="1"/>
      <c r="G160" s="1"/>
      <c r="H160" s="1"/>
      <c r="I160" s="1"/>
      <c r="J160" s="1"/>
      <c r="K160" s="100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2.75" customHeight="1">
      <c r="A161" s="1"/>
      <c r="B161" s="113"/>
      <c r="C161" s="1"/>
      <c r="D161" s="1"/>
      <c r="E161" s="128"/>
      <c r="F161" s="1"/>
      <c r="G161" s="1"/>
      <c r="H161" s="1"/>
      <c r="I161" s="1"/>
      <c r="J161" s="1"/>
      <c r="K161" s="100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2.75" customHeight="1">
      <c r="A162" s="1"/>
      <c r="B162" s="113"/>
      <c r="C162" s="1"/>
      <c r="D162" s="1"/>
      <c r="E162" s="128"/>
      <c r="F162" s="1"/>
      <c r="G162" s="1"/>
      <c r="H162" s="1"/>
      <c r="I162" s="1"/>
      <c r="J162" s="1"/>
      <c r="K162" s="100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2.75" customHeight="1">
      <c r="A163" s="1"/>
      <c r="B163" s="113"/>
      <c r="C163" s="1"/>
      <c r="D163" s="1"/>
      <c r="E163" s="128"/>
      <c r="F163" s="1"/>
      <c r="G163" s="1"/>
      <c r="H163" s="1"/>
      <c r="I163" s="1"/>
      <c r="J163" s="1"/>
      <c r="K163" s="100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2.75" customHeight="1">
      <c r="A164" s="1"/>
      <c r="B164" s="113"/>
      <c r="C164" s="1"/>
      <c r="D164" s="1"/>
      <c r="E164" s="128"/>
      <c r="F164" s="1"/>
      <c r="G164" s="1"/>
      <c r="H164" s="1"/>
      <c r="I164" s="1"/>
      <c r="J164" s="1"/>
      <c r="K164" s="100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2.75" customHeight="1">
      <c r="A165" s="1"/>
      <c r="B165" s="113"/>
      <c r="C165" s="1"/>
      <c r="D165" s="1"/>
      <c r="E165" s="128"/>
      <c r="F165" s="1"/>
      <c r="G165" s="1"/>
      <c r="H165" s="1"/>
      <c r="I165" s="1"/>
      <c r="J165" s="1"/>
      <c r="K165" s="100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2.75" customHeight="1">
      <c r="A166" s="1"/>
      <c r="B166" s="113"/>
      <c r="C166" s="1"/>
      <c r="D166" s="1"/>
      <c r="E166" s="128"/>
      <c r="F166" s="1"/>
      <c r="G166" s="1"/>
      <c r="H166" s="1"/>
      <c r="I166" s="1"/>
      <c r="J166" s="1"/>
      <c r="K166" s="100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2.75" customHeight="1">
      <c r="A167" s="1"/>
      <c r="B167" s="113"/>
      <c r="C167" s="1"/>
      <c r="D167" s="1"/>
      <c r="E167" s="128"/>
      <c r="F167" s="1"/>
      <c r="G167" s="1"/>
      <c r="H167" s="1"/>
      <c r="I167" s="1"/>
      <c r="J167" s="1"/>
      <c r="K167" s="100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2.75" customHeight="1">
      <c r="A168" s="1"/>
      <c r="B168" s="113"/>
      <c r="C168" s="1"/>
      <c r="D168" s="1"/>
      <c r="E168" s="128"/>
      <c r="F168" s="1"/>
      <c r="G168" s="1"/>
      <c r="H168" s="1"/>
      <c r="I168" s="1"/>
      <c r="J168" s="1"/>
      <c r="K168" s="100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2.75" customHeight="1">
      <c r="A169" s="1"/>
      <c r="B169" s="113"/>
      <c r="C169" s="1"/>
      <c r="D169" s="1"/>
      <c r="E169" s="128"/>
      <c r="F169" s="1"/>
      <c r="G169" s="1"/>
      <c r="H169" s="1"/>
      <c r="I169" s="1"/>
      <c r="J169" s="1"/>
      <c r="K169" s="100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2.75" customHeight="1">
      <c r="A170" s="1"/>
      <c r="B170" s="113"/>
      <c r="C170" s="1"/>
      <c r="D170" s="1"/>
      <c r="E170" s="128"/>
      <c r="F170" s="1"/>
      <c r="G170" s="1"/>
      <c r="H170" s="1"/>
      <c r="I170" s="1"/>
      <c r="J170" s="1"/>
      <c r="K170" s="100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2.75" customHeight="1">
      <c r="A171" s="1"/>
      <c r="B171" s="113"/>
      <c r="C171" s="1"/>
      <c r="D171" s="1"/>
      <c r="E171" s="128"/>
      <c r="F171" s="1"/>
      <c r="G171" s="1"/>
      <c r="H171" s="1"/>
      <c r="I171" s="1"/>
      <c r="J171" s="1"/>
      <c r="K171" s="100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2.75" customHeight="1">
      <c r="A172" s="1"/>
      <c r="B172" s="113"/>
      <c r="C172" s="1"/>
      <c r="D172" s="1"/>
      <c r="E172" s="128"/>
      <c r="F172" s="1"/>
      <c r="G172" s="1"/>
      <c r="H172" s="1"/>
      <c r="I172" s="1"/>
      <c r="J172" s="1"/>
      <c r="K172" s="100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2.75" customHeight="1">
      <c r="A173" s="1"/>
      <c r="B173" s="113"/>
      <c r="C173" s="1"/>
      <c r="D173" s="1"/>
      <c r="E173" s="128"/>
      <c r="F173" s="1"/>
      <c r="G173" s="1"/>
      <c r="H173" s="1"/>
      <c r="I173" s="1"/>
      <c r="J173" s="1"/>
      <c r="K173" s="100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2.75" customHeight="1">
      <c r="A174" s="1"/>
      <c r="B174" s="113"/>
      <c r="C174" s="1"/>
      <c r="D174" s="1"/>
      <c r="E174" s="128"/>
      <c r="F174" s="1"/>
      <c r="G174" s="1"/>
      <c r="H174" s="1"/>
      <c r="I174" s="1"/>
      <c r="J174" s="1"/>
      <c r="K174" s="100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2.75" customHeight="1">
      <c r="A175" s="1"/>
      <c r="B175" s="113"/>
      <c r="C175" s="1"/>
      <c r="D175" s="1"/>
      <c r="E175" s="128"/>
      <c r="F175" s="1"/>
      <c r="G175" s="1"/>
      <c r="H175" s="1"/>
      <c r="I175" s="1"/>
      <c r="J175" s="1"/>
      <c r="K175" s="100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2.75" customHeight="1">
      <c r="A176" s="1"/>
      <c r="B176" s="113"/>
      <c r="C176" s="1"/>
      <c r="D176" s="1"/>
      <c r="E176" s="128"/>
      <c r="F176" s="1"/>
      <c r="G176" s="1"/>
      <c r="H176" s="1"/>
      <c r="I176" s="1"/>
      <c r="J176" s="1"/>
      <c r="K176" s="100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2.75" customHeight="1">
      <c r="A177" s="1"/>
      <c r="B177" s="113"/>
      <c r="C177" s="1"/>
      <c r="D177" s="1"/>
      <c r="E177" s="128"/>
      <c r="F177" s="1"/>
      <c r="G177" s="1"/>
      <c r="H177" s="1"/>
      <c r="I177" s="1"/>
      <c r="J177" s="1"/>
      <c r="K177" s="100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2.75" customHeight="1">
      <c r="A178" s="1"/>
      <c r="B178" s="113"/>
      <c r="C178" s="1"/>
      <c r="D178" s="1"/>
      <c r="E178" s="128"/>
      <c r="F178" s="1"/>
      <c r="G178" s="1"/>
      <c r="H178" s="1"/>
      <c r="I178" s="1"/>
      <c r="J178" s="1"/>
      <c r="K178" s="100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2.75" customHeight="1">
      <c r="A179" s="1"/>
      <c r="B179" s="113"/>
      <c r="C179" s="1"/>
      <c r="D179" s="1"/>
      <c r="E179" s="128"/>
      <c r="F179" s="1"/>
      <c r="G179" s="1"/>
      <c r="H179" s="1"/>
      <c r="I179" s="1"/>
      <c r="J179" s="1"/>
      <c r="K179" s="100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2.75" customHeight="1">
      <c r="A180" s="1"/>
      <c r="B180" s="113"/>
      <c r="C180" s="1"/>
      <c r="D180" s="1"/>
      <c r="E180" s="128"/>
      <c r="F180" s="1"/>
      <c r="G180" s="1"/>
      <c r="H180" s="1"/>
      <c r="I180" s="1"/>
      <c r="J180" s="1"/>
      <c r="K180" s="100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2.75" customHeight="1">
      <c r="A181" s="1"/>
      <c r="B181" s="113"/>
      <c r="C181" s="1"/>
      <c r="D181" s="1"/>
      <c r="E181" s="128"/>
      <c r="F181" s="1"/>
      <c r="G181" s="1"/>
      <c r="H181" s="1"/>
      <c r="I181" s="1"/>
      <c r="J181" s="1"/>
      <c r="K181" s="100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2.75" customHeight="1">
      <c r="A182" s="1"/>
      <c r="B182" s="113"/>
      <c r="C182" s="1"/>
      <c r="D182" s="1"/>
      <c r="E182" s="128"/>
      <c r="F182" s="1"/>
      <c r="G182" s="1"/>
      <c r="H182" s="1"/>
      <c r="I182" s="1"/>
      <c r="J182" s="1"/>
      <c r="K182" s="100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2.75" customHeight="1">
      <c r="A183" s="1"/>
      <c r="B183" s="113"/>
      <c r="C183" s="1"/>
      <c r="D183" s="1"/>
      <c r="E183" s="128"/>
      <c r="F183" s="1"/>
      <c r="G183" s="1"/>
      <c r="H183" s="1"/>
      <c r="I183" s="1"/>
      <c r="J183" s="1"/>
      <c r="K183" s="100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2.75" customHeight="1">
      <c r="A184" s="1"/>
      <c r="B184" s="113"/>
      <c r="C184" s="1"/>
      <c r="D184" s="1"/>
      <c r="E184" s="128"/>
      <c r="F184" s="1"/>
      <c r="G184" s="1"/>
      <c r="H184" s="1"/>
      <c r="I184" s="1"/>
      <c r="J184" s="1"/>
      <c r="K184" s="100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2.75" customHeight="1">
      <c r="A185" s="1"/>
      <c r="B185" s="113"/>
      <c r="C185" s="1"/>
      <c r="D185" s="1"/>
      <c r="E185" s="128"/>
      <c r="F185" s="1"/>
      <c r="G185" s="1"/>
      <c r="H185" s="1"/>
      <c r="I185" s="1"/>
      <c r="J185" s="1"/>
      <c r="K185" s="100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2.75" customHeight="1">
      <c r="A186" s="1"/>
      <c r="B186" s="113"/>
      <c r="C186" s="1"/>
      <c r="D186" s="1"/>
      <c r="E186" s="128"/>
      <c r="F186" s="1"/>
      <c r="G186" s="1"/>
      <c r="H186" s="1"/>
      <c r="I186" s="1"/>
      <c r="J186" s="1"/>
      <c r="K186" s="100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2.75" customHeight="1">
      <c r="A187" s="1"/>
      <c r="B187" s="113"/>
      <c r="C187" s="1"/>
      <c r="D187" s="1"/>
      <c r="E187" s="128"/>
      <c r="F187" s="1"/>
      <c r="G187" s="1"/>
      <c r="H187" s="1"/>
      <c r="I187" s="1"/>
      <c r="J187" s="1"/>
      <c r="K187" s="100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2.75" customHeight="1">
      <c r="A188" s="1"/>
      <c r="B188" s="113"/>
      <c r="C188" s="1"/>
      <c r="D188" s="1"/>
      <c r="E188" s="128"/>
      <c r="F188" s="1"/>
      <c r="G188" s="1"/>
      <c r="H188" s="1"/>
      <c r="I188" s="1"/>
      <c r="J188" s="1"/>
      <c r="K188" s="100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2.75" customHeight="1">
      <c r="A189" s="1"/>
      <c r="B189" s="113"/>
      <c r="C189" s="1"/>
      <c r="D189" s="1"/>
      <c r="E189" s="128"/>
      <c r="F189" s="1"/>
      <c r="G189" s="1"/>
      <c r="H189" s="1"/>
      <c r="I189" s="1"/>
      <c r="J189" s="1"/>
      <c r="K189" s="100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2.75" customHeight="1">
      <c r="A190" s="1"/>
      <c r="B190" s="113"/>
      <c r="C190" s="1"/>
      <c r="D190" s="1"/>
      <c r="E190" s="128"/>
      <c r="F190" s="1"/>
      <c r="G190" s="1"/>
      <c r="H190" s="1"/>
      <c r="I190" s="1"/>
      <c r="J190" s="1"/>
      <c r="K190" s="100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2.75" customHeight="1">
      <c r="A191" s="1"/>
      <c r="B191" s="113"/>
      <c r="C191" s="1"/>
      <c r="D191" s="1"/>
      <c r="E191" s="128"/>
      <c r="F191" s="1"/>
      <c r="G191" s="1"/>
      <c r="H191" s="1"/>
      <c r="I191" s="1"/>
      <c r="J191" s="1"/>
      <c r="K191" s="100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2.75" customHeight="1">
      <c r="A192" s="1"/>
      <c r="B192" s="113"/>
      <c r="C192" s="1"/>
      <c r="D192" s="1"/>
      <c r="E192" s="128"/>
      <c r="F192" s="1"/>
      <c r="G192" s="1"/>
      <c r="H192" s="1"/>
      <c r="I192" s="1"/>
      <c r="J192" s="1"/>
      <c r="K192" s="100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2.75" customHeight="1">
      <c r="A193" s="1"/>
      <c r="B193" s="113"/>
      <c r="C193" s="1"/>
      <c r="D193" s="1"/>
      <c r="E193" s="128"/>
      <c r="F193" s="1"/>
      <c r="G193" s="1"/>
      <c r="H193" s="1"/>
      <c r="I193" s="1"/>
      <c r="J193" s="1"/>
      <c r="K193" s="100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2.75" customHeight="1">
      <c r="A194" s="1"/>
      <c r="B194" s="113"/>
      <c r="C194" s="1"/>
      <c r="D194" s="1"/>
      <c r="E194" s="128"/>
      <c r="F194" s="1"/>
      <c r="G194" s="1"/>
      <c r="H194" s="1"/>
      <c r="I194" s="1"/>
      <c r="J194" s="1"/>
      <c r="K194" s="100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2.75" customHeight="1">
      <c r="A195" s="1"/>
      <c r="B195" s="113"/>
      <c r="C195" s="1"/>
      <c r="D195" s="1"/>
      <c r="E195" s="128"/>
      <c r="F195" s="1"/>
      <c r="G195" s="1"/>
      <c r="H195" s="1"/>
      <c r="I195" s="1"/>
      <c r="J195" s="1"/>
      <c r="K195" s="100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2.75" customHeight="1">
      <c r="A196" s="1"/>
      <c r="B196" s="113"/>
      <c r="C196" s="1"/>
      <c r="D196" s="1"/>
      <c r="E196" s="128"/>
      <c r="F196" s="1"/>
      <c r="G196" s="1"/>
      <c r="H196" s="1"/>
      <c r="I196" s="1"/>
      <c r="J196" s="1"/>
      <c r="K196" s="100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2.75" customHeight="1">
      <c r="A197" s="1"/>
      <c r="B197" s="113"/>
      <c r="C197" s="1"/>
      <c r="D197" s="1"/>
      <c r="E197" s="128"/>
      <c r="F197" s="1"/>
      <c r="G197" s="1"/>
      <c r="H197" s="1"/>
      <c r="I197" s="1"/>
      <c r="J197" s="1"/>
      <c r="K197" s="100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2.75" customHeight="1">
      <c r="A198" s="1"/>
      <c r="B198" s="113"/>
      <c r="C198" s="1"/>
      <c r="D198" s="1"/>
      <c r="E198" s="128"/>
      <c r="F198" s="1"/>
      <c r="G198" s="1"/>
      <c r="H198" s="1"/>
      <c r="I198" s="1"/>
      <c r="J198" s="1"/>
      <c r="K198" s="100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2.75" customHeight="1">
      <c r="A199" s="1"/>
      <c r="B199" s="113"/>
      <c r="C199" s="1"/>
      <c r="D199" s="1"/>
      <c r="E199" s="128"/>
      <c r="F199" s="1"/>
      <c r="G199" s="1"/>
      <c r="H199" s="1"/>
      <c r="I199" s="1"/>
      <c r="J199" s="1"/>
      <c r="K199" s="100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2.75" customHeight="1">
      <c r="A200" s="1"/>
      <c r="B200" s="113"/>
      <c r="C200" s="1"/>
      <c r="D200" s="1"/>
      <c r="E200" s="128"/>
      <c r="F200" s="1"/>
      <c r="G200" s="1"/>
      <c r="H200" s="1"/>
      <c r="I200" s="1"/>
      <c r="J200" s="1"/>
      <c r="K200" s="100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2.75" customHeight="1">
      <c r="A201" s="1"/>
      <c r="B201" s="113"/>
      <c r="C201" s="1"/>
      <c r="D201" s="1"/>
      <c r="E201" s="128"/>
      <c r="F201" s="1"/>
      <c r="G201" s="1"/>
      <c r="H201" s="1"/>
      <c r="I201" s="1"/>
      <c r="J201" s="1"/>
      <c r="K201" s="100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2.75" customHeight="1">
      <c r="A202" s="1"/>
      <c r="B202" s="113"/>
      <c r="C202" s="1"/>
      <c r="D202" s="1"/>
      <c r="E202" s="128"/>
      <c r="F202" s="1"/>
      <c r="G202" s="1"/>
      <c r="H202" s="1"/>
      <c r="I202" s="1"/>
      <c r="J202" s="1"/>
      <c r="K202" s="100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2.75" customHeight="1">
      <c r="A203" s="1"/>
      <c r="B203" s="113"/>
      <c r="C203" s="1"/>
      <c r="D203" s="1"/>
      <c r="E203" s="128"/>
      <c r="F203" s="1"/>
      <c r="G203" s="1"/>
      <c r="H203" s="1"/>
      <c r="I203" s="1"/>
      <c r="J203" s="1"/>
      <c r="K203" s="100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2.75" customHeight="1">
      <c r="A204" s="1"/>
      <c r="B204" s="113"/>
      <c r="C204" s="1"/>
      <c r="D204" s="1"/>
      <c r="E204" s="128"/>
      <c r="F204" s="1"/>
      <c r="G204" s="1"/>
      <c r="H204" s="1"/>
      <c r="I204" s="1"/>
      <c r="J204" s="1"/>
      <c r="K204" s="100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2.75" customHeight="1">
      <c r="A205" s="1"/>
      <c r="B205" s="113"/>
      <c r="C205" s="1"/>
      <c r="D205" s="1"/>
      <c r="E205" s="128"/>
      <c r="F205" s="1"/>
      <c r="G205" s="1"/>
      <c r="H205" s="1"/>
      <c r="I205" s="1"/>
      <c r="J205" s="1"/>
      <c r="K205" s="100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2.75" customHeight="1">
      <c r="A206" s="1"/>
      <c r="B206" s="113"/>
      <c r="C206" s="1"/>
      <c r="D206" s="1"/>
      <c r="E206" s="128"/>
      <c r="F206" s="1"/>
      <c r="G206" s="1"/>
      <c r="H206" s="1"/>
      <c r="I206" s="1"/>
      <c r="J206" s="1"/>
      <c r="K206" s="100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2.75" customHeight="1">
      <c r="A207" s="1"/>
      <c r="B207" s="113"/>
      <c r="C207" s="1"/>
      <c r="D207" s="1"/>
      <c r="E207" s="128"/>
      <c r="F207" s="1"/>
      <c r="G207" s="1"/>
      <c r="H207" s="1"/>
      <c r="I207" s="1"/>
      <c r="J207" s="1"/>
      <c r="K207" s="100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2.75" customHeight="1">
      <c r="A208" s="1"/>
      <c r="B208" s="113"/>
      <c r="C208" s="1"/>
      <c r="D208" s="1"/>
      <c r="E208" s="128"/>
      <c r="F208" s="1"/>
      <c r="G208" s="1"/>
      <c r="H208" s="1"/>
      <c r="I208" s="1"/>
      <c r="J208" s="1"/>
      <c r="K208" s="100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2.75" customHeight="1">
      <c r="A209" s="1"/>
      <c r="B209" s="113"/>
      <c r="C209" s="1"/>
      <c r="D209" s="1"/>
      <c r="E209" s="128"/>
      <c r="F209" s="1"/>
      <c r="G209" s="1"/>
      <c r="H209" s="1"/>
      <c r="I209" s="1"/>
      <c r="J209" s="1"/>
      <c r="K209" s="100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2.75" customHeight="1">
      <c r="A210" s="1"/>
      <c r="B210" s="113"/>
      <c r="C210" s="1"/>
      <c r="D210" s="1"/>
      <c r="E210" s="128"/>
      <c r="F210" s="1"/>
      <c r="G210" s="1"/>
      <c r="H210" s="1"/>
      <c r="I210" s="1"/>
      <c r="J210" s="1"/>
      <c r="K210" s="100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2.75" customHeight="1">
      <c r="A211" s="1"/>
      <c r="B211" s="113"/>
      <c r="C211" s="1"/>
      <c r="D211" s="1"/>
      <c r="E211" s="128"/>
      <c r="F211" s="1"/>
      <c r="G211" s="1"/>
      <c r="H211" s="1"/>
      <c r="I211" s="1"/>
      <c r="J211" s="1"/>
      <c r="K211" s="100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2.75" customHeight="1">
      <c r="A212" s="1"/>
      <c r="B212" s="113"/>
      <c r="C212" s="1"/>
      <c r="D212" s="1"/>
      <c r="E212" s="128"/>
      <c r="F212" s="1"/>
      <c r="G212" s="1"/>
      <c r="H212" s="1"/>
      <c r="I212" s="1"/>
      <c r="J212" s="1"/>
      <c r="K212" s="100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2.75" customHeight="1">
      <c r="A213" s="1"/>
      <c r="B213" s="113"/>
      <c r="C213" s="1"/>
      <c r="D213" s="1"/>
      <c r="E213" s="128"/>
      <c r="F213" s="1"/>
      <c r="G213" s="1"/>
      <c r="H213" s="1"/>
      <c r="I213" s="1"/>
      <c r="J213" s="1"/>
      <c r="K213" s="100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2.75" customHeight="1">
      <c r="A214" s="1"/>
      <c r="B214" s="113"/>
      <c r="C214" s="1"/>
      <c r="D214" s="1"/>
      <c r="E214" s="128"/>
      <c r="F214" s="1"/>
      <c r="G214" s="1"/>
      <c r="H214" s="1"/>
      <c r="I214" s="1"/>
      <c r="J214" s="1"/>
      <c r="K214" s="100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2.75" customHeight="1">
      <c r="A215" s="1"/>
      <c r="B215" s="113"/>
      <c r="C215" s="1"/>
      <c r="D215" s="1"/>
      <c r="E215" s="128"/>
      <c r="F215" s="1"/>
      <c r="G215" s="1"/>
      <c r="H215" s="1"/>
      <c r="I215" s="1"/>
      <c r="J215" s="1"/>
      <c r="K215" s="100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2.75" customHeight="1">
      <c r="A216" s="1"/>
      <c r="B216" s="113"/>
      <c r="C216" s="1"/>
      <c r="D216" s="1"/>
      <c r="E216" s="128"/>
      <c r="F216" s="1"/>
      <c r="G216" s="1"/>
      <c r="H216" s="1"/>
      <c r="I216" s="1"/>
      <c r="J216" s="1"/>
      <c r="K216" s="100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2.75" customHeight="1">
      <c r="A217" s="1"/>
      <c r="B217" s="113"/>
      <c r="C217" s="1"/>
      <c r="D217" s="1"/>
      <c r="E217" s="128"/>
      <c r="F217" s="1"/>
      <c r="G217" s="1"/>
      <c r="H217" s="1"/>
      <c r="I217" s="1"/>
      <c r="J217" s="1"/>
      <c r="K217" s="100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2.75" customHeight="1">
      <c r="A218" s="1"/>
      <c r="B218" s="113"/>
      <c r="C218" s="1"/>
      <c r="D218" s="1"/>
      <c r="E218" s="128"/>
      <c r="F218" s="1"/>
      <c r="G218" s="1"/>
      <c r="H218" s="1"/>
      <c r="I218" s="1"/>
      <c r="J218" s="1"/>
      <c r="K218" s="100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2.75" customHeight="1">
      <c r="A219" s="1"/>
      <c r="B219" s="113"/>
      <c r="C219" s="1"/>
      <c r="D219" s="1"/>
      <c r="E219" s="128"/>
      <c r="F219" s="1"/>
      <c r="G219" s="1"/>
      <c r="H219" s="1"/>
      <c r="I219" s="1"/>
      <c r="J219" s="1"/>
      <c r="K219" s="100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2.75" customHeight="1">
      <c r="A220" s="1"/>
      <c r="B220" s="113"/>
      <c r="C220" s="1"/>
      <c r="D220" s="1"/>
      <c r="E220" s="128"/>
      <c r="F220" s="1"/>
      <c r="G220" s="1"/>
      <c r="H220" s="1"/>
      <c r="I220" s="1"/>
      <c r="J220" s="1"/>
      <c r="K220" s="100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2.75" customHeight="1">
      <c r="A221" s="1"/>
      <c r="B221" s="113"/>
      <c r="C221" s="1"/>
      <c r="D221" s="1"/>
      <c r="E221" s="128"/>
      <c r="F221" s="1"/>
      <c r="G221" s="1"/>
      <c r="H221" s="1"/>
      <c r="I221" s="1"/>
      <c r="J221" s="1"/>
      <c r="K221" s="100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2.75" customHeight="1">
      <c r="A222" s="1"/>
      <c r="B222" s="113"/>
      <c r="C222" s="1"/>
      <c r="D222" s="1"/>
      <c r="E222" s="128"/>
      <c r="F222" s="1"/>
      <c r="G222" s="1"/>
      <c r="H222" s="1"/>
      <c r="I222" s="1"/>
      <c r="J222" s="1"/>
      <c r="K222" s="100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2.75" customHeight="1">
      <c r="A223" s="1"/>
      <c r="B223" s="113"/>
      <c r="C223" s="1"/>
      <c r="D223" s="1"/>
      <c r="E223" s="128"/>
      <c r="F223" s="1"/>
      <c r="G223" s="1"/>
      <c r="H223" s="1"/>
      <c r="I223" s="1"/>
      <c r="J223" s="1"/>
      <c r="K223" s="100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2.75" customHeight="1">
      <c r="A224" s="1"/>
      <c r="B224" s="113"/>
      <c r="C224" s="1"/>
      <c r="D224" s="1"/>
      <c r="E224" s="128"/>
      <c r="F224" s="1"/>
      <c r="G224" s="1"/>
      <c r="H224" s="1"/>
      <c r="I224" s="1"/>
      <c r="J224" s="1"/>
      <c r="K224" s="100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2.75" customHeight="1">
      <c r="A225" s="1"/>
      <c r="B225" s="113"/>
      <c r="C225" s="1"/>
      <c r="D225" s="1"/>
      <c r="E225" s="128"/>
      <c r="F225" s="1"/>
      <c r="G225" s="1"/>
      <c r="H225" s="1"/>
      <c r="I225" s="1"/>
      <c r="J225" s="1"/>
      <c r="K225" s="100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2.75" customHeight="1">
      <c r="A226" s="1"/>
      <c r="B226" s="113"/>
      <c r="C226" s="1"/>
      <c r="D226" s="1"/>
      <c r="E226" s="128"/>
      <c r="F226" s="1"/>
      <c r="G226" s="1"/>
      <c r="H226" s="1"/>
      <c r="I226" s="1"/>
      <c r="J226" s="1"/>
      <c r="K226" s="100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2.75" customHeight="1">
      <c r="A227" s="1"/>
      <c r="B227" s="113"/>
      <c r="C227" s="1"/>
      <c r="D227" s="1"/>
      <c r="E227" s="128"/>
      <c r="F227" s="1"/>
      <c r="G227" s="1"/>
      <c r="H227" s="1"/>
      <c r="I227" s="1"/>
      <c r="J227" s="1"/>
      <c r="K227" s="100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2.75" customHeight="1">
      <c r="A228" s="1"/>
      <c r="B228" s="113"/>
      <c r="C228" s="1"/>
      <c r="D228" s="1"/>
      <c r="E228" s="128"/>
      <c r="F228" s="1"/>
      <c r="G228" s="1"/>
      <c r="H228" s="1"/>
      <c r="I228" s="1"/>
      <c r="J228" s="1"/>
      <c r="K228" s="100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2.75" customHeight="1">
      <c r="A229" s="1"/>
      <c r="B229" s="113"/>
      <c r="C229" s="1"/>
      <c r="D229" s="1"/>
      <c r="E229" s="128"/>
      <c r="F229" s="1"/>
      <c r="G229" s="1"/>
      <c r="H229" s="1"/>
      <c r="I229" s="1"/>
      <c r="J229" s="1"/>
      <c r="K229" s="100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2.75" customHeight="1">
      <c r="A230" s="1"/>
      <c r="B230" s="113"/>
      <c r="C230" s="1"/>
      <c r="D230" s="1"/>
      <c r="E230" s="128"/>
      <c r="F230" s="1"/>
      <c r="G230" s="1"/>
      <c r="H230" s="1"/>
      <c r="I230" s="1"/>
      <c r="J230" s="1"/>
      <c r="K230" s="100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2.75" customHeight="1">
      <c r="A231" s="1"/>
      <c r="B231" s="113"/>
      <c r="C231" s="1"/>
      <c r="D231" s="1"/>
      <c r="E231" s="128"/>
      <c r="F231" s="1"/>
      <c r="G231" s="1"/>
      <c r="H231" s="1"/>
      <c r="I231" s="1"/>
      <c r="J231" s="1"/>
      <c r="K231" s="100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2.75" customHeight="1">
      <c r="A232" s="1"/>
      <c r="B232" s="113"/>
      <c r="C232" s="1"/>
      <c r="D232" s="1"/>
      <c r="E232" s="128"/>
      <c r="F232" s="1"/>
      <c r="G232" s="1"/>
      <c r="H232" s="1"/>
      <c r="I232" s="1"/>
      <c r="J232" s="1"/>
      <c r="K232" s="100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2.75" customHeight="1">
      <c r="A233" s="1"/>
      <c r="B233" s="113"/>
      <c r="C233" s="1"/>
      <c r="D233" s="1"/>
      <c r="E233" s="128"/>
      <c r="F233" s="1"/>
      <c r="G233" s="1"/>
      <c r="H233" s="1"/>
      <c r="I233" s="1"/>
      <c r="J233" s="1"/>
      <c r="K233" s="100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5">
    <mergeCell ref="B2:D2"/>
    <mergeCell ref="B3:D3"/>
    <mergeCell ref="B4:D4"/>
    <mergeCell ref="I5:J5"/>
    <mergeCell ref="I6:J6"/>
  </mergeCells>
  <dataValidations>
    <dataValidation type="list" allowBlank="1" showErrorMessage="1" sqref="F9:F29 F31:F154">
      <formula1>$L$2:$L$5</formula1>
    </dataValidation>
    <dataValidation type="list" allowBlank="1" showErrorMessage="1" sqref="E10:E37">
      <formula1>$M$2:$M$4</formula1>
    </dataValidation>
  </dataValidations>
  <printOptions/>
  <pageMargins bottom="0.9840277777777777" footer="0.0" header="0.0" left="0.7479166666666667" right="0.25" top="0.75"/>
  <pageSetup paperSize="9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2"/>
  <cols>
    <col customWidth="1" min="1" max="1" width="20.0"/>
    <col customWidth="1" min="2" max="2" width="23.63"/>
    <col customWidth="1" min="3" max="3" width="47.5"/>
    <col customWidth="1" min="4" max="4" width="57.5"/>
    <col customWidth="1" min="5" max="5" width="19.5"/>
    <col customWidth="1" min="6" max="6" width="16.38"/>
    <col customWidth="1" min="7" max="9" width="14.63"/>
    <col customWidth="1" min="10" max="10" width="17.63"/>
    <col customWidth="1" min="11" max="11" width="8.13"/>
    <col customWidth="1" min="12" max="12" width="12.0"/>
    <col customWidth="1" min="13" max="28" width="9.0"/>
  </cols>
  <sheetData>
    <row r="1" ht="12.75" customHeight="1">
      <c r="A1" s="45"/>
      <c r="B1" s="46"/>
      <c r="C1" s="47"/>
      <c r="D1" s="47"/>
      <c r="E1" s="47"/>
      <c r="F1" s="82"/>
      <c r="G1" s="48"/>
      <c r="H1" s="48"/>
      <c r="I1" s="48"/>
      <c r="J1" s="10"/>
      <c r="K1" s="49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</row>
    <row r="2" ht="12.75" customHeight="1">
      <c r="A2" s="51" t="s">
        <v>29</v>
      </c>
      <c r="B2" s="52" t="s">
        <v>24</v>
      </c>
      <c r="C2" s="53"/>
      <c r="D2" s="54"/>
      <c r="E2" s="55"/>
      <c r="F2" s="115"/>
      <c r="G2" s="10"/>
      <c r="H2" s="10"/>
      <c r="I2" s="10"/>
      <c r="J2" s="10"/>
      <c r="K2" s="49"/>
      <c r="L2" s="50" t="s">
        <v>16</v>
      </c>
      <c r="M2" s="50" t="s">
        <v>31</v>
      </c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ht="25.5" customHeight="1">
      <c r="A3" s="51" t="s">
        <v>32</v>
      </c>
      <c r="B3" s="57" t="s">
        <v>209</v>
      </c>
      <c r="C3" s="58"/>
      <c r="D3" s="59"/>
      <c r="E3" s="55"/>
      <c r="F3" s="115"/>
      <c r="G3" s="10"/>
      <c r="H3" s="10"/>
      <c r="I3" s="10"/>
      <c r="J3" s="10"/>
      <c r="K3" s="49"/>
      <c r="L3" s="50" t="s">
        <v>17</v>
      </c>
      <c r="M3" s="50" t="s">
        <v>34</v>
      </c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</row>
    <row r="4" ht="18.0" customHeight="1">
      <c r="A4" s="60" t="s">
        <v>35</v>
      </c>
      <c r="B4" s="61"/>
      <c r="C4" s="62"/>
      <c r="D4" s="63"/>
      <c r="E4" s="64"/>
      <c r="F4" s="115"/>
      <c r="G4" s="10"/>
      <c r="H4" s="10"/>
      <c r="I4" s="10"/>
      <c r="J4" s="10"/>
      <c r="K4" s="49"/>
      <c r="L4" s="50" t="s">
        <v>18</v>
      </c>
      <c r="M4" s="50" t="s">
        <v>36</v>
      </c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</row>
    <row r="5" ht="19.5" customHeight="1">
      <c r="A5" s="65" t="s">
        <v>16</v>
      </c>
      <c r="B5" s="66" t="s">
        <v>17</v>
      </c>
      <c r="C5" s="67" t="s">
        <v>18</v>
      </c>
      <c r="D5" s="68" t="s">
        <v>37</v>
      </c>
      <c r="E5" s="69"/>
      <c r="F5" s="69"/>
      <c r="G5" s="71"/>
      <c r="H5" s="71"/>
      <c r="I5" s="71"/>
      <c r="J5" s="72"/>
      <c r="K5" s="73"/>
      <c r="L5" s="50" t="s">
        <v>38</v>
      </c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</row>
    <row r="6" ht="15.0" customHeight="1">
      <c r="A6" s="74">
        <f>COUNTIF(F10:F989,"Passed")</f>
        <v>19</v>
      </c>
      <c r="B6" s="129">
        <f>COUNTIF(F10:F989,"Failed")</f>
        <v>1</v>
      </c>
      <c r="C6" s="76">
        <f>D6-B6-A6</f>
        <v>7</v>
      </c>
      <c r="D6" s="74">
        <f>COUNTA(A10:A989)</f>
        <v>27</v>
      </c>
      <c r="E6" s="77"/>
      <c r="F6" s="77"/>
      <c r="G6" s="79"/>
      <c r="H6" s="79"/>
      <c r="I6" s="79"/>
      <c r="J6" s="72"/>
      <c r="K6" s="73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</row>
    <row r="7" ht="15.0" customHeight="1">
      <c r="A7" s="50"/>
      <c r="B7" s="46"/>
      <c r="C7" s="50"/>
      <c r="D7" s="81"/>
      <c r="E7" s="81"/>
      <c r="F7" s="82"/>
      <c r="G7" s="82"/>
      <c r="H7" s="82"/>
      <c r="I7" s="82"/>
      <c r="J7" s="82"/>
      <c r="K7" s="73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>
      <c r="A8" s="83" t="s">
        <v>39</v>
      </c>
      <c r="B8" s="83" t="s">
        <v>40</v>
      </c>
      <c r="C8" s="83" t="s">
        <v>41</v>
      </c>
      <c r="D8" s="130" t="s">
        <v>42</v>
      </c>
      <c r="E8" s="83" t="s">
        <v>43</v>
      </c>
      <c r="F8" s="131" t="s">
        <v>44</v>
      </c>
      <c r="G8" s="132" t="s">
        <v>45</v>
      </c>
      <c r="H8" s="132" t="s">
        <v>35</v>
      </c>
      <c r="I8" s="133" t="s">
        <v>46</v>
      </c>
      <c r="J8" s="83" t="s">
        <v>47</v>
      </c>
      <c r="K8" s="84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</row>
    <row r="9">
      <c r="A9" s="134"/>
      <c r="B9" s="135" t="s">
        <v>48</v>
      </c>
      <c r="C9" s="136"/>
      <c r="D9" s="136"/>
      <c r="E9" s="118"/>
      <c r="F9" s="137"/>
      <c r="G9" s="136"/>
      <c r="H9" s="136"/>
      <c r="I9" s="136"/>
      <c r="J9" s="138"/>
      <c r="K9" s="87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</row>
    <row r="10" outlineLevel="1">
      <c r="A10" s="139" t="str">
        <f t="shared" ref="A10:A17" si="1">IF(OR(C10&lt;&gt;"",D10&lt;&gt;""),"["&amp;TEXT($B$2,"##")&amp;"-"&amp;TEXT(ROW()-10+1,"##")&amp;"]","")</f>
        <v>[UC03_KYC-1]</v>
      </c>
      <c r="B10" s="140" t="s">
        <v>210</v>
      </c>
      <c r="C10" s="96" t="s">
        <v>211</v>
      </c>
      <c r="D10" s="141" t="s">
        <v>212</v>
      </c>
      <c r="E10" s="142" t="s">
        <v>31</v>
      </c>
      <c r="F10" s="143" t="s">
        <v>18</v>
      </c>
      <c r="G10" s="144"/>
      <c r="H10" s="144"/>
      <c r="I10" s="145"/>
      <c r="J10" s="145"/>
      <c r="K10" s="95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</row>
    <row r="11" outlineLevel="1">
      <c r="A11" s="139" t="str">
        <f t="shared" si="1"/>
        <v>[UC03_KYC-2]</v>
      </c>
      <c r="B11" s="140" t="s">
        <v>213</v>
      </c>
      <c r="C11" s="90" t="s">
        <v>214</v>
      </c>
      <c r="D11" s="90" t="s">
        <v>215</v>
      </c>
      <c r="E11" s="93" t="s">
        <v>36</v>
      </c>
      <c r="F11" s="93" t="s">
        <v>16</v>
      </c>
      <c r="G11" s="145"/>
      <c r="H11" s="145"/>
      <c r="I11" s="145"/>
      <c r="J11" s="145"/>
      <c r="K11" s="95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</row>
    <row r="12" outlineLevel="1">
      <c r="A12" s="146" t="str">
        <f t="shared" si="1"/>
        <v>[UC03_KYC-3]</v>
      </c>
      <c r="B12" s="140" t="s">
        <v>216</v>
      </c>
      <c r="C12" s="90" t="s">
        <v>217</v>
      </c>
      <c r="D12" s="90" t="s">
        <v>218</v>
      </c>
      <c r="E12" s="93" t="s">
        <v>36</v>
      </c>
      <c r="F12" s="93" t="s">
        <v>16</v>
      </c>
      <c r="G12" s="145"/>
      <c r="H12" s="145"/>
      <c r="I12" s="145"/>
      <c r="J12" s="145"/>
      <c r="K12" s="95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</row>
    <row r="13" outlineLevel="1">
      <c r="A13" s="146" t="str">
        <f t="shared" si="1"/>
        <v>[UC03_KYC-4]</v>
      </c>
      <c r="B13" s="140" t="s">
        <v>219</v>
      </c>
      <c r="C13" s="90" t="s">
        <v>220</v>
      </c>
      <c r="D13" s="90" t="s">
        <v>221</v>
      </c>
      <c r="E13" s="93" t="s">
        <v>36</v>
      </c>
      <c r="F13" s="93" t="s">
        <v>16</v>
      </c>
      <c r="G13" s="145"/>
      <c r="H13" s="145"/>
      <c r="I13" s="145"/>
      <c r="J13" s="145"/>
      <c r="K13" s="95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</row>
    <row r="14" outlineLevel="1">
      <c r="A14" s="146" t="str">
        <f t="shared" si="1"/>
        <v>[UC03_KYC-5]</v>
      </c>
      <c r="B14" s="140" t="s">
        <v>222</v>
      </c>
      <c r="C14" s="90" t="s">
        <v>223</v>
      </c>
      <c r="D14" s="90" t="s">
        <v>224</v>
      </c>
      <c r="E14" s="93" t="s">
        <v>36</v>
      </c>
      <c r="F14" s="93" t="s">
        <v>16</v>
      </c>
      <c r="G14" s="145"/>
      <c r="H14" s="145"/>
      <c r="I14" s="145"/>
      <c r="J14" s="145"/>
      <c r="K14" s="95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</row>
    <row r="15" outlineLevel="1">
      <c r="A15" s="146" t="str">
        <f t="shared" si="1"/>
        <v>[UC03_KYC-6]</v>
      </c>
      <c r="B15" s="140" t="s">
        <v>225</v>
      </c>
      <c r="C15" s="90" t="s">
        <v>226</v>
      </c>
      <c r="D15" s="90" t="s">
        <v>227</v>
      </c>
      <c r="E15" s="93" t="s">
        <v>36</v>
      </c>
      <c r="F15" s="93" t="s">
        <v>16</v>
      </c>
      <c r="G15" s="145"/>
      <c r="H15" s="145"/>
      <c r="I15" s="145"/>
      <c r="J15" s="145"/>
      <c r="K15" s="95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</row>
    <row r="16" outlineLevel="1">
      <c r="A16" s="146" t="str">
        <f t="shared" si="1"/>
        <v>[UC03_KYC-7]</v>
      </c>
      <c r="B16" s="140" t="s">
        <v>228</v>
      </c>
      <c r="C16" s="90" t="s">
        <v>229</v>
      </c>
      <c r="D16" s="90" t="s">
        <v>230</v>
      </c>
      <c r="E16" s="93" t="s">
        <v>36</v>
      </c>
      <c r="F16" s="93" t="s">
        <v>16</v>
      </c>
      <c r="G16" s="145"/>
      <c r="H16" s="145"/>
      <c r="I16" s="145"/>
      <c r="J16" s="145"/>
      <c r="K16" s="95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</row>
    <row r="17" outlineLevel="1">
      <c r="A17" s="146" t="str">
        <f t="shared" si="1"/>
        <v>[UC03_KYC-8]</v>
      </c>
      <c r="B17" s="140" t="s">
        <v>231</v>
      </c>
      <c r="C17" s="90" t="s">
        <v>232</v>
      </c>
      <c r="D17" s="90" t="s">
        <v>233</v>
      </c>
      <c r="E17" s="93" t="s">
        <v>36</v>
      </c>
      <c r="F17" s="93" t="s">
        <v>16</v>
      </c>
      <c r="G17" s="145"/>
      <c r="H17" s="145"/>
      <c r="I17" s="145"/>
      <c r="J17" s="145"/>
      <c r="K17" s="95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</row>
    <row r="18">
      <c r="A18" s="118"/>
      <c r="B18" s="86" t="s">
        <v>69</v>
      </c>
      <c r="C18" s="118"/>
      <c r="D18" s="118"/>
      <c r="E18" s="147"/>
      <c r="F18" s="147"/>
      <c r="G18" s="118"/>
      <c r="H18" s="118"/>
      <c r="I18" s="118"/>
      <c r="J18" s="118"/>
      <c r="K18" s="100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outlineLevel="1">
      <c r="A19" s="148" t="str">
        <f t="shared" ref="A19:A31" si="2">IF(OR(C19&lt;&gt;"",D19&lt;&gt;""),"["&amp;TEXT($B$2,"##")&amp;"-"&amp;TEXT(ROW()-10,"##")&amp;"]","")</f>
        <v>[UC03_KYC-9]</v>
      </c>
      <c r="B19" s="149" t="s">
        <v>234</v>
      </c>
      <c r="C19" s="150" t="s">
        <v>235</v>
      </c>
      <c r="D19" s="151" t="s">
        <v>236</v>
      </c>
      <c r="E19" s="152" t="s">
        <v>36</v>
      </c>
      <c r="F19" s="93" t="s">
        <v>16</v>
      </c>
      <c r="G19" s="153"/>
      <c r="H19" s="153"/>
      <c r="I19" s="154"/>
      <c r="J19" s="154"/>
      <c r="K19" s="100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outlineLevel="1">
      <c r="A20" s="148" t="str">
        <f t="shared" si="2"/>
        <v>[UC03_KYC-10]</v>
      </c>
      <c r="B20" s="96" t="s">
        <v>237</v>
      </c>
      <c r="C20" s="96" t="s">
        <v>238</v>
      </c>
      <c r="D20" s="96" t="s">
        <v>239</v>
      </c>
      <c r="E20" s="92" t="s">
        <v>36</v>
      </c>
      <c r="F20" s="93" t="s">
        <v>16</v>
      </c>
      <c r="G20" s="145"/>
      <c r="H20" s="145"/>
      <c r="I20" s="145"/>
      <c r="J20" s="145"/>
      <c r="K20" s="100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outlineLevel="1">
      <c r="A21" s="148" t="str">
        <f t="shared" si="2"/>
        <v>[UC03_KYC-11]</v>
      </c>
      <c r="B21" s="140" t="s">
        <v>240</v>
      </c>
      <c r="C21" s="96" t="s">
        <v>241</v>
      </c>
      <c r="D21" s="96" t="s">
        <v>241</v>
      </c>
      <c r="E21" s="92" t="s">
        <v>36</v>
      </c>
      <c r="F21" s="93" t="s">
        <v>18</v>
      </c>
      <c r="G21" s="145"/>
      <c r="H21" s="145"/>
      <c r="I21" s="145"/>
      <c r="J21" s="145"/>
      <c r="K21" s="100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outlineLevel="1">
      <c r="A22" s="148" t="str">
        <f t="shared" si="2"/>
        <v>[UC03_KYC-12]</v>
      </c>
      <c r="B22" s="96" t="s">
        <v>242</v>
      </c>
      <c r="C22" s="96" t="s">
        <v>243</v>
      </c>
      <c r="D22" s="96" t="s">
        <v>244</v>
      </c>
      <c r="E22" s="92" t="s">
        <v>34</v>
      </c>
      <c r="F22" s="93" t="s">
        <v>17</v>
      </c>
      <c r="G22" s="145"/>
      <c r="H22" s="145"/>
      <c r="I22" s="145"/>
      <c r="J22" s="145"/>
      <c r="K22" s="100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outlineLevel="1">
      <c r="A23" s="148" t="str">
        <f t="shared" si="2"/>
        <v>[UC03_KYC-13]</v>
      </c>
      <c r="B23" s="96" t="s">
        <v>245</v>
      </c>
      <c r="C23" s="96" t="s">
        <v>246</v>
      </c>
      <c r="D23" s="96" t="s">
        <v>247</v>
      </c>
      <c r="E23" s="92" t="s">
        <v>36</v>
      </c>
      <c r="F23" s="93" t="s">
        <v>18</v>
      </c>
      <c r="G23" s="145"/>
      <c r="H23" s="145"/>
      <c r="I23" s="145"/>
      <c r="J23" s="145"/>
      <c r="K23" s="10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outlineLevel="1">
      <c r="A24" s="148" t="str">
        <f t="shared" si="2"/>
        <v>[UC03_KYC-14]</v>
      </c>
      <c r="B24" s="96" t="s">
        <v>248</v>
      </c>
      <c r="C24" s="96" t="s">
        <v>249</v>
      </c>
      <c r="D24" s="96" t="s">
        <v>250</v>
      </c>
      <c r="E24" s="92" t="s">
        <v>36</v>
      </c>
      <c r="F24" s="93" t="s">
        <v>16</v>
      </c>
      <c r="G24" s="145"/>
      <c r="H24" s="145"/>
      <c r="I24" s="145"/>
      <c r="J24" s="145"/>
      <c r="K24" s="100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30.0" customHeight="1" outlineLevel="1">
      <c r="A25" s="148" t="str">
        <f t="shared" si="2"/>
        <v>[UC03_KYC-15]</v>
      </c>
      <c r="B25" s="140" t="s">
        <v>251</v>
      </c>
      <c r="C25" s="96" t="s">
        <v>252</v>
      </c>
      <c r="D25" s="96" t="s">
        <v>253</v>
      </c>
      <c r="E25" s="92" t="s">
        <v>36</v>
      </c>
      <c r="F25" s="93" t="s">
        <v>16</v>
      </c>
      <c r="G25" s="145"/>
      <c r="H25" s="145"/>
      <c r="I25" s="145"/>
      <c r="J25" s="145"/>
      <c r="K25" s="100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30.0" customHeight="1" outlineLevel="1">
      <c r="A26" s="148" t="str">
        <f t="shared" si="2"/>
        <v>[UC03_KYC-16]</v>
      </c>
      <c r="B26" s="140" t="s">
        <v>254</v>
      </c>
      <c r="C26" s="96" t="s">
        <v>255</v>
      </c>
      <c r="D26" s="96" t="s">
        <v>256</v>
      </c>
      <c r="E26" s="92" t="s">
        <v>36</v>
      </c>
      <c r="F26" s="93" t="s">
        <v>16</v>
      </c>
      <c r="G26" s="145"/>
      <c r="H26" s="145"/>
      <c r="I26" s="145"/>
      <c r="J26" s="145"/>
      <c r="K26" s="100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27.75" customHeight="1" outlineLevel="1">
      <c r="A27" s="148" t="str">
        <f t="shared" si="2"/>
        <v>[UC03_KYC-17]</v>
      </c>
      <c r="B27" s="96" t="s">
        <v>257</v>
      </c>
      <c r="C27" s="96" t="s">
        <v>258</v>
      </c>
      <c r="D27" s="96" t="s">
        <v>259</v>
      </c>
      <c r="E27" s="92" t="s">
        <v>36</v>
      </c>
      <c r="F27" s="93" t="s">
        <v>16</v>
      </c>
      <c r="G27" s="145"/>
      <c r="H27" s="145"/>
      <c r="I27" s="145"/>
      <c r="J27" s="145"/>
      <c r="K27" s="100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27.75" customHeight="1" outlineLevel="1">
      <c r="A28" s="148" t="str">
        <f t="shared" si="2"/>
        <v>[UC03_KYC-18]</v>
      </c>
      <c r="B28" s="96" t="s">
        <v>260</v>
      </c>
      <c r="C28" s="96" t="s">
        <v>261</v>
      </c>
      <c r="D28" s="96" t="s">
        <v>262</v>
      </c>
      <c r="E28" s="92" t="s">
        <v>36</v>
      </c>
      <c r="F28" s="93" t="s">
        <v>16</v>
      </c>
      <c r="G28" s="145"/>
      <c r="H28" s="145"/>
      <c r="I28" s="145"/>
      <c r="J28" s="145"/>
      <c r="K28" s="100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29.25" customHeight="1" outlineLevel="1">
      <c r="A29" s="148" t="str">
        <f t="shared" si="2"/>
        <v>[UC03_KYC-19]</v>
      </c>
      <c r="B29" s="96" t="s">
        <v>263</v>
      </c>
      <c r="C29" s="96" t="s">
        <v>264</v>
      </c>
      <c r="D29" s="96" t="s">
        <v>265</v>
      </c>
      <c r="E29" s="92" t="s">
        <v>36</v>
      </c>
      <c r="F29" s="93" t="s">
        <v>16</v>
      </c>
      <c r="G29" s="145"/>
      <c r="H29" s="145"/>
      <c r="I29" s="145"/>
      <c r="J29" s="145"/>
      <c r="K29" s="100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29.25" customHeight="1" outlineLevel="1">
      <c r="A30" s="148" t="str">
        <f t="shared" si="2"/>
        <v>[UC03_KYC-20]</v>
      </c>
      <c r="B30" s="96" t="s">
        <v>266</v>
      </c>
      <c r="C30" s="96" t="s">
        <v>267</v>
      </c>
      <c r="D30" s="96" t="s">
        <v>268</v>
      </c>
      <c r="E30" s="92" t="s">
        <v>34</v>
      </c>
      <c r="F30" s="93" t="s">
        <v>18</v>
      </c>
      <c r="G30" s="145"/>
      <c r="H30" s="145"/>
      <c r="I30" s="145"/>
      <c r="J30" s="145"/>
      <c r="K30" s="100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26.25" customHeight="1" outlineLevel="1">
      <c r="A31" s="148" t="str">
        <f t="shared" si="2"/>
        <v>[UC03_KYC-21]</v>
      </c>
      <c r="B31" s="96" t="s">
        <v>269</v>
      </c>
      <c r="C31" s="96" t="s">
        <v>270</v>
      </c>
      <c r="D31" s="96" t="s">
        <v>271</v>
      </c>
      <c r="E31" s="92" t="s">
        <v>36</v>
      </c>
      <c r="F31" s="93" t="s">
        <v>16</v>
      </c>
      <c r="G31" s="145"/>
      <c r="H31" s="145"/>
      <c r="I31" s="145"/>
      <c r="J31" s="145"/>
      <c r="K31" s="100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5.75" customHeight="1">
      <c r="A32" s="118"/>
      <c r="B32" s="86" t="s">
        <v>119</v>
      </c>
      <c r="C32" s="118"/>
      <c r="D32" s="118"/>
      <c r="E32" s="147"/>
      <c r="F32" s="147"/>
      <c r="G32" s="118"/>
      <c r="H32" s="118"/>
      <c r="I32" s="118"/>
      <c r="J32" s="118"/>
      <c r="K32" s="100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33.75" customHeight="1" outlineLevel="2">
      <c r="A33" s="145" t="str">
        <f t="shared" ref="A33:A38" si="3">IF(OR(C33&lt;&gt;"",D33&lt;&gt;""),"["&amp;TEXT($B$2,"##")&amp;"-"&amp;TEXT(ROW()-10-1,"##")&amp;"]","")</f>
        <v>[UC03_KYC-22]</v>
      </c>
      <c r="B33" s="96" t="s">
        <v>272</v>
      </c>
      <c r="C33" s="96" t="s">
        <v>273</v>
      </c>
      <c r="D33" s="96" t="s">
        <v>274</v>
      </c>
      <c r="E33" s="92" t="s">
        <v>36</v>
      </c>
      <c r="F33" s="93" t="s">
        <v>16</v>
      </c>
      <c r="G33" s="145"/>
      <c r="H33" s="145"/>
      <c r="I33" s="145"/>
      <c r="J33" s="145"/>
      <c r="K33" s="100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32.25" customHeight="1" outlineLevel="2">
      <c r="A34" s="145" t="str">
        <f t="shared" si="3"/>
        <v>[UC03_KYC-23]</v>
      </c>
      <c r="B34" s="96" t="s">
        <v>275</v>
      </c>
      <c r="C34" s="96" t="s">
        <v>276</v>
      </c>
      <c r="D34" s="96" t="s">
        <v>277</v>
      </c>
      <c r="E34" s="92" t="s">
        <v>36</v>
      </c>
      <c r="F34" s="93" t="s">
        <v>18</v>
      </c>
      <c r="G34" s="145"/>
      <c r="H34" s="145"/>
      <c r="I34" s="145"/>
      <c r="J34" s="145"/>
      <c r="K34" s="100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27.75" customHeight="1" outlineLevel="2">
      <c r="A35" s="145" t="str">
        <f t="shared" si="3"/>
        <v>[UC03_KYC-24]</v>
      </c>
      <c r="B35" s="96" t="s">
        <v>278</v>
      </c>
      <c r="C35" s="96" t="s">
        <v>279</v>
      </c>
      <c r="D35" s="96" t="s">
        <v>280</v>
      </c>
      <c r="E35" s="92" t="s">
        <v>36</v>
      </c>
      <c r="F35" s="93" t="s">
        <v>18</v>
      </c>
      <c r="G35" s="145"/>
      <c r="H35" s="145"/>
      <c r="I35" s="145"/>
      <c r="J35" s="145"/>
      <c r="K35" s="100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28.5" customHeight="1" outlineLevel="2">
      <c r="A36" s="145" t="str">
        <f t="shared" si="3"/>
        <v>[UC03_KYC-25]</v>
      </c>
      <c r="B36" s="96" t="s">
        <v>281</v>
      </c>
      <c r="C36" s="96" t="s">
        <v>282</v>
      </c>
      <c r="D36" s="96" t="s">
        <v>283</v>
      </c>
      <c r="E36" s="92" t="s">
        <v>36</v>
      </c>
      <c r="F36" s="93" t="s">
        <v>16</v>
      </c>
      <c r="G36" s="145"/>
      <c r="H36" s="145"/>
      <c r="I36" s="145"/>
      <c r="J36" s="145"/>
      <c r="K36" s="125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</row>
    <row r="37" ht="30.0" customHeight="1" outlineLevel="2">
      <c r="A37" s="145" t="str">
        <f t="shared" si="3"/>
        <v>[UC03_KYC-26]</v>
      </c>
      <c r="B37" s="96" t="s">
        <v>284</v>
      </c>
      <c r="C37" s="96" t="s">
        <v>285</v>
      </c>
      <c r="D37" s="96" t="s">
        <v>286</v>
      </c>
      <c r="E37" s="93" t="s">
        <v>36</v>
      </c>
      <c r="F37" s="93" t="s">
        <v>16</v>
      </c>
      <c r="G37" s="145"/>
      <c r="H37" s="145"/>
      <c r="I37" s="145"/>
      <c r="J37" s="145"/>
      <c r="K37" s="125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</row>
    <row r="38" ht="26.25" customHeight="1">
      <c r="A38" s="145" t="str">
        <f t="shared" si="3"/>
        <v>[UC03_KYC-27]</v>
      </c>
      <c r="B38" s="96" t="s">
        <v>287</v>
      </c>
      <c r="C38" s="96" t="s">
        <v>288</v>
      </c>
      <c r="D38" s="96" t="s">
        <v>289</v>
      </c>
      <c r="E38" s="93" t="s">
        <v>34</v>
      </c>
      <c r="F38" s="93" t="s">
        <v>18</v>
      </c>
      <c r="G38" s="108"/>
      <c r="H38" s="108"/>
      <c r="I38" s="108"/>
      <c r="J38" s="108"/>
      <c r="K38" s="109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</row>
    <row r="39" ht="12.75" customHeight="1">
      <c r="A39" s="110"/>
      <c r="B39" s="155"/>
      <c r="C39" s="110"/>
      <c r="D39" s="110"/>
      <c r="E39" s="110"/>
      <c r="F39" s="156"/>
      <c r="G39" s="110"/>
      <c r="H39" s="110"/>
      <c r="I39" s="110"/>
      <c r="J39" s="110"/>
      <c r="K39" s="112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</row>
    <row r="40" ht="12.75" customHeight="1">
      <c r="A40" s="1"/>
      <c r="B40" s="157"/>
      <c r="C40" s="1"/>
      <c r="D40" s="1"/>
      <c r="E40" s="1"/>
      <c r="F40" s="128"/>
      <c r="G40" s="1"/>
      <c r="H40" s="1"/>
      <c r="I40" s="1"/>
      <c r="J40" s="1"/>
      <c r="K40" s="100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2.75" customHeight="1">
      <c r="A41" s="1"/>
      <c r="B41" s="157"/>
      <c r="C41" s="1"/>
      <c r="D41" s="1"/>
      <c r="E41" s="1"/>
      <c r="F41" s="128"/>
      <c r="G41" s="1"/>
      <c r="H41" s="1"/>
      <c r="I41" s="1"/>
      <c r="J41" s="1"/>
      <c r="K41" s="100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2.75" customHeight="1">
      <c r="A42" s="1"/>
      <c r="B42" s="157"/>
      <c r="C42" s="1"/>
      <c r="D42" s="1"/>
      <c r="E42" s="1"/>
      <c r="F42" s="128"/>
      <c r="G42" s="1"/>
      <c r="H42" s="1"/>
      <c r="I42" s="1"/>
      <c r="J42" s="1"/>
      <c r="K42" s="100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2.75" customHeight="1">
      <c r="A43" s="1"/>
      <c r="B43" s="157"/>
      <c r="C43" s="1"/>
      <c r="D43" s="1"/>
      <c r="E43" s="1"/>
      <c r="F43" s="128"/>
      <c r="G43" s="1"/>
      <c r="H43" s="1"/>
      <c r="I43" s="1"/>
      <c r="J43" s="1"/>
      <c r="K43" s="100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2.75" customHeight="1">
      <c r="A44" s="1"/>
      <c r="B44" s="157"/>
      <c r="C44" s="1"/>
      <c r="D44" s="1"/>
      <c r="E44" s="1"/>
      <c r="F44" s="128"/>
      <c r="G44" s="1"/>
      <c r="H44" s="1"/>
      <c r="I44" s="1"/>
      <c r="J44" s="1"/>
      <c r="K44" s="100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2.75" customHeight="1">
      <c r="A45" s="1"/>
      <c r="B45" s="157"/>
      <c r="C45" s="1"/>
      <c r="D45" s="1"/>
      <c r="E45" s="1"/>
      <c r="F45" s="128"/>
      <c r="G45" s="1"/>
      <c r="H45" s="1"/>
      <c r="I45" s="1"/>
      <c r="J45" s="1"/>
      <c r="K45" s="100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2.75" customHeight="1">
      <c r="A46" s="1"/>
      <c r="B46" s="157"/>
      <c r="C46" s="1"/>
      <c r="D46" s="1"/>
      <c r="E46" s="1"/>
      <c r="F46" s="128"/>
      <c r="G46" s="1"/>
      <c r="H46" s="1"/>
      <c r="I46" s="1"/>
      <c r="J46" s="1"/>
      <c r="K46" s="100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2.75" customHeight="1">
      <c r="A47" s="1"/>
      <c r="B47" s="157"/>
      <c r="C47" s="1"/>
      <c r="D47" s="1"/>
      <c r="E47" s="1"/>
      <c r="F47" s="128"/>
      <c r="G47" s="1"/>
      <c r="H47" s="1"/>
      <c r="I47" s="1"/>
      <c r="J47" s="1"/>
      <c r="K47" s="100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2.75" customHeight="1">
      <c r="A48" s="1"/>
      <c r="B48" s="157"/>
      <c r="C48" s="1"/>
      <c r="D48" s="1"/>
      <c r="E48" s="1"/>
      <c r="F48" s="128"/>
      <c r="G48" s="1"/>
      <c r="H48" s="1"/>
      <c r="I48" s="1"/>
      <c r="J48" s="1"/>
      <c r="K48" s="100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2.75" customHeight="1">
      <c r="A49" s="1"/>
      <c r="B49" s="157"/>
      <c r="C49" s="1"/>
      <c r="D49" s="1"/>
      <c r="E49" s="1"/>
      <c r="F49" s="128"/>
      <c r="G49" s="1"/>
      <c r="H49" s="1"/>
      <c r="I49" s="1"/>
      <c r="J49" s="1"/>
      <c r="K49" s="100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2.75" customHeight="1">
      <c r="A50" s="1"/>
      <c r="B50" s="157"/>
      <c r="C50" s="1"/>
      <c r="D50" s="1"/>
      <c r="E50" s="1"/>
      <c r="F50" s="128"/>
      <c r="G50" s="1"/>
      <c r="H50" s="1"/>
      <c r="I50" s="1"/>
      <c r="J50" s="1"/>
      <c r="K50" s="100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2.75" customHeight="1">
      <c r="A51" s="1"/>
      <c r="B51" s="157"/>
      <c r="C51" s="1"/>
      <c r="D51" s="1"/>
      <c r="E51" s="1"/>
      <c r="F51" s="128"/>
      <c r="G51" s="1"/>
      <c r="H51" s="1"/>
      <c r="I51" s="1"/>
      <c r="J51" s="1"/>
      <c r="K51" s="100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2.75" customHeight="1">
      <c r="A52" s="1"/>
      <c r="B52" s="157"/>
      <c r="C52" s="1"/>
      <c r="D52" s="1"/>
      <c r="E52" s="1"/>
      <c r="F52" s="128"/>
      <c r="G52" s="1"/>
      <c r="H52" s="1"/>
      <c r="I52" s="1"/>
      <c r="J52" s="1"/>
      <c r="K52" s="100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2.75" customHeight="1">
      <c r="A53" s="1"/>
      <c r="B53" s="157"/>
      <c r="C53" s="1"/>
      <c r="D53" s="1"/>
      <c r="E53" s="1"/>
      <c r="F53" s="128"/>
      <c r="G53" s="1"/>
      <c r="H53" s="1"/>
      <c r="I53" s="1"/>
      <c r="J53" s="1"/>
      <c r="K53" s="100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2.75" customHeight="1">
      <c r="A54" s="1"/>
      <c r="B54" s="157"/>
      <c r="C54" s="1"/>
      <c r="D54" s="1"/>
      <c r="E54" s="1"/>
      <c r="F54" s="128"/>
      <c r="G54" s="1"/>
      <c r="H54" s="1"/>
      <c r="I54" s="1"/>
      <c r="J54" s="1"/>
      <c r="K54" s="100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2.75" customHeight="1">
      <c r="A55" s="1"/>
      <c r="B55" s="157"/>
      <c r="C55" s="1"/>
      <c r="D55" s="1"/>
      <c r="E55" s="1"/>
      <c r="F55" s="128"/>
      <c r="G55" s="1"/>
      <c r="H55" s="1"/>
      <c r="I55" s="1"/>
      <c r="J55" s="1"/>
      <c r="K55" s="100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2.75" customHeight="1">
      <c r="A56" s="1"/>
      <c r="B56" s="157"/>
      <c r="C56" s="1"/>
      <c r="D56" s="1"/>
      <c r="E56" s="1"/>
      <c r="F56" s="128"/>
      <c r="G56" s="1"/>
      <c r="H56" s="1"/>
      <c r="I56" s="1"/>
      <c r="J56" s="1"/>
      <c r="K56" s="100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2.75" customHeight="1">
      <c r="A57" s="1"/>
      <c r="B57" s="157"/>
      <c r="C57" s="1"/>
      <c r="D57" s="1"/>
      <c r="E57" s="1"/>
      <c r="F57" s="128"/>
      <c r="G57" s="1"/>
      <c r="H57" s="1"/>
      <c r="I57" s="1"/>
      <c r="J57" s="1"/>
      <c r="K57" s="100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2.75" customHeight="1">
      <c r="A58" s="1"/>
      <c r="B58" s="157"/>
      <c r="C58" s="1"/>
      <c r="D58" s="1"/>
      <c r="E58" s="1"/>
      <c r="F58" s="128"/>
      <c r="G58" s="1"/>
      <c r="H58" s="1"/>
      <c r="I58" s="1"/>
      <c r="J58" s="1"/>
      <c r="K58" s="100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2.75" customHeight="1">
      <c r="A59" s="1"/>
      <c r="B59" s="157"/>
      <c r="C59" s="1"/>
      <c r="D59" s="1"/>
      <c r="E59" s="1"/>
      <c r="F59" s="128"/>
      <c r="G59" s="1"/>
      <c r="H59" s="1"/>
      <c r="I59" s="1"/>
      <c r="J59" s="1"/>
      <c r="K59" s="10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2.75" customHeight="1">
      <c r="A60" s="1"/>
      <c r="B60" s="157"/>
      <c r="C60" s="1"/>
      <c r="D60" s="1"/>
      <c r="E60" s="1"/>
      <c r="F60" s="128"/>
      <c r="G60" s="1"/>
      <c r="H60" s="1"/>
      <c r="I60" s="1"/>
      <c r="J60" s="1"/>
      <c r="K60" s="10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2.75" customHeight="1">
      <c r="A61" s="1"/>
      <c r="B61" s="157"/>
      <c r="C61" s="1"/>
      <c r="D61" s="1"/>
      <c r="E61" s="1"/>
      <c r="F61" s="128"/>
      <c r="G61" s="1"/>
      <c r="H61" s="1"/>
      <c r="I61" s="1"/>
      <c r="J61" s="1"/>
      <c r="K61" s="10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2.75" customHeight="1">
      <c r="A62" s="1"/>
      <c r="B62" s="157"/>
      <c r="C62" s="1"/>
      <c r="D62" s="1"/>
      <c r="E62" s="1"/>
      <c r="F62" s="128"/>
      <c r="G62" s="1"/>
      <c r="H62" s="1"/>
      <c r="I62" s="1"/>
      <c r="J62" s="1"/>
      <c r="K62" s="100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2.75" customHeight="1">
      <c r="A63" s="1"/>
      <c r="B63" s="157"/>
      <c r="C63" s="1"/>
      <c r="D63" s="1"/>
      <c r="E63" s="1"/>
      <c r="F63" s="128"/>
      <c r="G63" s="1"/>
      <c r="H63" s="1"/>
      <c r="I63" s="1"/>
      <c r="J63" s="1"/>
      <c r="K63" s="100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2.75" customHeight="1">
      <c r="A64" s="1"/>
      <c r="B64" s="157"/>
      <c r="C64" s="1"/>
      <c r="D64" s="1"/>
      <c r="E64" s="1"/>
      <c r="F64" s="128"/>
      <c r="G64" s="1"/>
      <c r="H64" s="1"/>
      <c r="I64" s="1"/>
      <c r="J64" s="1"/>
      <c r="K64" s="10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2.75" customHeight="1">
      <c r="A65" s="1"/>
      <c r="B65" s="157"/>
      <c r="C65" s="1"/>
      <c r="D65" s="1"/>
      <c r="E65" s="1"/>
      <c r="F65" s="128"/>
      <c r="G65" s="1"/>
      <c r="H65" s="1"/>
      <c r="I65" s="1"/>
      <c r="J65" s="1"/>
      <c r="K65" s="100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2.75" customHeight="1">
      <c r="A66" s="1"/>
      <c r="B66" s="157"/>
      <c r="C66" s="1"/>
      <c r="D66" s="1"/>
      <c r="E66" s="1"/>
      <c r="F66" s="128"/>
      <c r="G66" s="1"/>
      <c r="H66" s="1"/>
      <c r="I66" s="1"/>
      <c r="J66" s="1"/>
      <c r="K66" s="10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2.75" customHeight="1">
      <c r="A67" s="1"/>
      <c r="B67" s="157"/>
      <c r="C67" s="1"/>
      <c r="D67" s="1"/>
      <c r="E67" s="1"/>
      <c r="F67" s="128"/>
      <c r="G67" s="1"/>
      <c r="H67" s="1"/>
      <c r="I67" s="1"/>
      <c r="J67" s="1"/>
      <c r="K67" s="100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2.75" customHeight="1">
      <c r="A68" s="1"/>
      <c r="B68" s="157"/>
      <c r="C68" s="1"/>
      <c r="D68" s="1"/>
      <c r="E68" s="1"/>
      <c r="F68" s="128"/>
      <c r="G68" s="1"/>
      <c r="H68" s="1"/>
      <c r="I68" s="1"/>
      <c r="J68" s="1"/>
      <c r="K68" s="10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2.75" customHeight="1">
      <c r="A69" s="1"/>
      <c r="B69" s="157"/>
      <c r="C69" s="1"/>
      <c r="D69" s="1"/>
      <c r="E69" s="1"/>
      <c r="F69" s="128"/>
      <c r="G69" s="1"/>
      <c r="H69" s="1"/>
      <c r="I69" s="1"/>
      <c r="J69" s="1"/>
      <c r="K69" s="10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2.75" customHeight="1">
      <c r="A70" s="1"/>
      <c r="B70" s="157"/>
      <c r="C70" s="1"/>
      <c r="D70" s="1"/>
      <c r="E70" s="1"/>
      <c r="F70" s="128"/>
      <c r="G70" s="1"/>
      <c r="H70" s="1"/>
      <c r="I70" s="1"/>
      <c r="J70" s="1"/>
      <c r="K70" s="100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2.75" customHeight="1">
      <c r="A71" s="1"/>
      <c r="B71" s="157"/>
      <c r="C71" s="1"/>
      <c r="D71" s="1"/>
      <c r="E71" s="1"/>
      <c r="F71" s="128"/>
      <c r="G71" s="1"/>
      <c r="H71" s="1"/>
      <c r="I71" s="1"/>
      <c r="J71" s="1"/>
      <c r="K71" s="10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2.75" customHeight="1">
      <c r="A72" s="1"/>
      <c r="B72" s="157"/>
      <c r="C72" s="1"/>
      <c r="D72" s="1"/>
      <c r="E72" s="1"/>
      <c r="F72" s="128"/>
      <c r="G72" s="1"/>
      <c r="H72" s="1"/>
      <c r="I72" s="1"/>
      <c r="J72" s="1"/>
      <c r="K72" s="100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2.75" customHeight="1">
      <c r="A73" s="1"/>
      <c r="B73" s="157"/>
      <c r="C73" s="1"/>
      <c r="D73" s="1"/>
      <c r="E73" s="1"/>
      <c r="F73" s="128"/>
      <c r="G73" s="1"/>
      <c r="H73" s="1"/>
      <c r="I73" s="1"/>
      <c r="J73" s="1"/>
      <c r="K73" s="10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2.75" customHeight="1">
      <c r="A74" s="1"/>
      <c r="B74" s="157"/>
      <c r="C74" s="1"/>
      <c r="D74" s="1"/>
      <c r="E74" s="1"/>
      <c r="F74" s="128"/>
      <c r="G74" s="1"/>
      <c r="H74" s="1"/>
      <c r="I74" s="1"/>
      <c r="J74" s="1"/>
      <c r="K74" s="10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2.75" customHeight="1">
      <c r="A75" s="1"/>
      <c r="B75" s="157"/>
      <c r="C75" s="1"/>
      <c r="D75" s="1"/>
      <c r="E75" s="1"/>
      <c r="F75" s="128"/>
      <c r="G75" s="1"/>
      <c r="H75" s="1"/>
      <c r="I75" s="1"/>
      <c r="J75" s="1"/>
      <c r="K75" s="100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2.75" customHeight="1">
      <c r="A76" s="1"/>
      <c r="B76" s="157"/>
      <c r="C76" s="1"/>
      <c r="D76" s="1"/>
      <c r="E76" s="1"/>
      <c r="F76" s="128"/>
      <c r="G76" s="1"/>
      <c r="H76" s="1"/>
      <c r="I76" s="1"/>
      <c r="J76" s="1"/>
      <c r="K76" s="100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2.75" customHeight="1">
      <c r="A77" s="1"/>
      <c r="B77" s="157"/>
      <c r="C77" s="1"/>
      <c r="D77" s="1"/>
      <c r="E77" s="1"/>
      <c r="F77" s="128"/>
      <c r="G77" s="1"/>
      <c r="H77" s="1"/>
      <c r="I77" s="1"/>
      <c r="J77" s="1"/>
      <c r="K77" s="100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2.75" customHeight="1">
      <c r="A78" s="1"/>
      <c r="B78" s="157"/>
      <c r="C78" s="1"/>
      <c r="D78" s="1"/>
      <c r="E78" s="1"/>
      <c r="F78" s="128"/>
      <c r="G78" s="1"/>
      <c r="H78" s="1"/>
      <c r="I78" s="1"/>
      <c r="J78" s="1"/>
      <c r="K78" s="10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2.75" customHeight="1">
      <c r="A79" s="1"/>
      <c r="B79" s="157"/>
      <c r="C79" s="1"/>
      <c r="D79" s="1"/>
      <c r="E79" s="1"/>
      <c r="F79" s="128"/>
      <c r="G79" s="1"/>
      <c r="H79" s="1"/>
      <c r="I79" s="1"/>
      <c r="J79" s="1"/>
      <c r="K79" s="10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2.75" customHeight="1">
      <c r="A80" s="1"/>
      <c r="B80" s="157"/>
      <c r="C80" s="1"/>
      <c r="D80" s="1"/>
      <c r="E80" s="1"/>
      <c r="F80" s="128"/>
      <c r="G80" s="1"/>
      <c r="H80" s="1"/>
      <c r="I80" s="1"/>
      <c r="J80" s="1"/>
      <c r="K80" s="100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2.75" customHeight="1">
      <c r="A81" s="1"/>
      <c r="B81" s="157"/>
      <c r="C81" s="1"/>
      <c r="D81" s="1"/>
      <c r="E81" s="1"/>
      <c r="F81" s="128"/>
      <c r="G81" s="1"/>
      <c r="H81" s="1"/>
      <c r="I81" s="1"/>
      <c r="J81" s="1"/>
      <c r="K81" s="100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2.75" customHeight="1">
      <c r="A82" s="1"/>
      <c r="B82" s="157"/>
      <c r="C82" s="1"/>
      <c r="D82" s="1"/>
      <c r="E82" s="1"/>
      <c r="F82" s="128"/>
      <c r="G82" s="1"/>
      <c r="H82" s="1"/>
      <c r="I82" s="1"/>
      <c r="J82" s="1"/>
      <c r="K82" s="100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2.75" customHeight="1">
      <c r="A83" s="1"/>
      <c r="B83" s="157"/>
      <c r="C83" s="1"/>
      <c r="D83" s="1"/>
      <c r="E83" s="1"/>
      <c r="F83" s="128"/>
      <c r="G83" s="1"/>
      <c r="H83" s="1"/>
      <c r="I83" s="1"/>
      <c r="J83" s="1"/>
      <c r="K83" s="100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2.75" customHeight="1">
      <c r="A84" s="1"/>
      <c r="B84" s="157"/>
      <c r="C84" s="1"/>
      <c r="D84" s="1"/>
      <c r="E84" s="1"/>
      <c r="F84" s="128"/>
      <c r="G84" s="1"/>
      <c r="H84" s="1"/>
      <c r="I84" s="1"/>
      <c r="J84" s="1"/>
      <c r="K84" s="100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2.75" customHeight="1">
      <c r="A85" s="1"/>
      <c r="B85" s="157"/>
      <c r="C85" s="1"/>
      <c r="D85" s="1"/>
      <c r="E85" s="1"/>
      <c r="F85" s="128"/>
      <c r="G85" s="1"/>
      <c r="H85" s="1"/>
      <c r="I85" s="1"/>
      <c r="J85" s="1"/>
      <c r="K85" s="100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2.75" customHeight="1">
      <c r="A86" s="1"/>
      <c r="B86" s="157"/>
      <c r="C86" s="1"/>
      <c r="D86" s="1"/>
      <c r="E86" s="1"/>
      <c r="F86" s="128"/>
      <c r="G86" s="1"/>
      <c r="H86" s="1"/>
      <c r="I86" s="1"/>
      <c r="J86" s="1"/>
      <c r="K86" s="100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2.75" customHeight="1">
      <c r="A87" s="1"/>
      <c r="B87" s="157"/>
      <c r="C87" s="1"/>
      <c r="D87" s="1"/>
      <c r="E87" s="1"/>
      <c r="F87" s="128"/>
      <c r="G87" s="1"/>
      <c r="H87" s="1"/>
      <c r="I87" s="1"/>
      <c r="J87" s="1"/>
      <c r="K87" s="100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2.75" customHeight="1">
      <c r="A88" s="1"/>
      <c r="B88" s="157"/>
      <c r="C88" s="1"/>
      <c r="D88" s="1"/>
      <c r="E88" s="1"/>
      <c r="F88" s="128"/>
      <c r="G88" s="1"/>
      <c r="H88" s="1"/>
      <c r="I88" s="1"/>
      <c r="J88" s="1"/>
      <c r="K88" s="100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2.75" customHeight="1">
      <c r="A89" s="1"/>
      <c r="B89" s="157"/>
      <c r="C89" s="1"/>
      <c r="D89" s="1"/>
      <c r="E89" s="1"/>
      <c r="F89" s="128"/>
      <c r="G89" s="1"/>
      <c r="H89" s="1"/>
      <c r="I89" s="1"/>
      <c r="J89" s="1"/>
      <c r="K89" s="100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2.75" customHeight="1">
      <c r="A90" s="1"/>
      <c r="B90" s="157"/>
      <c r="C90" s="1"/>
      <c r="D90" s="1"/>
      <c r="E90" s="1"/>
      <c r="F90" s="128"/>
      <c r="G90" s="1"/>
      <c r="H90" s="1"/>
      <c r="I90" s="1"/>
      <c r="J90" s="1"/>
      <c r="K90" s="100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2.75" customHeight="1">
      <c r="A91" s="1"/>
      <c r="B91" s="157"/>
      <c r="C91" s="1"/>
      <c r="D91" s="1"/>
      <c r="E91" s="1"/>
      <c r="F91" s="128"/>
      <c r="G91" s="1"/>
      <c r="H91" s="1"/>
      <c r="I91" s="1"/>
      <c r="J91" s="1"/>
      <c r="K91" s="100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2.75" customHeight="1">
      <c r="A92" s="1"/>
      <c r="B92" s="157"/>
      <c r="C92" s="1"/>
      <c r="D92" s="1"/>
      <c r="E92" s="1"/>
      <c r="F92" s="128"/>
      <c r="G92" s="1"/>
      <c r="H92" s="1"/>
      <c r="I92" s="1"/>
      <c r="J92" s="1"/>
      <c r="K92" s="100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2.75" customHeight="1">
      <c r="A93" s="1"/>
      <c r="B93" s="157"/>
      <c r="C93" s="1"/>
      <c r="D93" s="1"/>
      <c r="E93" s="1"/>
      <c r="F93" s="128"/>
      <c r="G93" s="1"/>
      <c r="H93" s="1"/>
      <c r="I93" s="1"/>
      <c r="J93" s="1"/>
      <c r="K93" s="100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2.75" customHeight="1">
      <c r="A94" s="1"/>
      <c r="B94" s="157"/>
      <c r="C94" s="1"/>
      <c r="D94" s="1"/>
      <c r="E94" s="1"/>
      <c r="F94" s="128"/>
      <c r="G94" s="1"/>
      <c r="H94" s="1"/>
      <c r="I94" s="1"/>
      <c r="J94" s="1"/>
      <c r="K94" s="100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2.75" customHeight="1">
      <c r="A95" s="1"/>
      <c r="B95" s="157"/>
      <c r="C95" s="1"/>
      <c r="D95" s="1"/>
      <c r="E95" s="1"/>
      <c r="F95" s="128"/>
      <c r="G95" s="1"/>
      <c r="H95" s="1"/>
      <c r="I95" s="1"/>
      <c r="J95" s="1"/>
      <c r="K95" s="100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2.75" customHeight="1">
      <c r="A96" s="1"/>
      <c r="B96" s="157"/>
      <c r="C96" s="1"/>
      <c r="D96" s="1"/>
      <c r="E96" s="1"/>
      <c r="F96" s="128"/>
      <c r="G96" s="1"/>
      <c r="H96" s="1"/>
      <c r="I96" s="1"/>
      <c r="J96" s="1"/>
      <c r="K96" s="100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2.75" customHeight="1">
      <c r="A97" s="1"/>
      <c r="B97" s="157"/>
      <c r="C97" s="1"/>
      <c r="D97" s="1"/>
      <c r="E97" s="1"/>
      <c r="F97" s="128"/>
      <c r="G97" s="1"/>
      <c r="H97" s="1"/>
      <c r="I97" s="1"/>
      <c r="J97" s="1"/>
      <c r="K97" s="100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2.75" customHeight="1">
      <c r="A98" s="1"/>
      <c r="B98" s="157"/>
      <c r="C98" s="1"/>
      <c r="D98" s="1"/>
      <c r="E98" s="1"/>
      <c r="F98" s="128"/>
      <c r="G98" s="1"/>
      <c r="H98" s="1"/>
      <c r="I98" s="1"/>
      <c r="J98" s="1"/>
      <c r="K98" s="100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2.75" customHeight="1">
      <c r="A99" s="1"/>
      <c r="B99" s="157"/>
      <c r="C99" s="1"/>
      <c r="D99" s="1"/>
      <c r="E99" s="1"/>
      <c r="F99" s="128"/>
      <c r="G99" s="1"/>
      <c r="H99" s="1"/>
      <c r="I99" s="1"/>
      <c r="J99" s="1"/>
      <c r="K99" s="100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2.75" customHeight="1">
      <c r="A100" s="1"/>
      <c r="B100" s="157"/>
      <c r="C100" s="1"/>
      <c r="D100" s="1"/>
      <c r="E100" s="1"/>
      <c r="F100" s="128"/>
      <c r="G100" s="1"/>
      <c r="H100" s="1"/>
      <c r="I100" s="1"/>
      <c r="J100" s="1"/>
      <c r="K100" s="100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2.75" customHeight="1">
      <c r="A101" s="1"/>
      <c r="B101" s="157"/>
      <c r="C101" s="1"/>
      <c r="D101" s="1"/>
      <c r="E101" s="1"/>
      <c r="F101" s="128"/>
      <c r="G101" s="1"/>
      <c r="H101" s="1"/>
      <c r="I101" s="1"/>
      <c r="J101" s="1"/>
      <c r="K101" s="100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2.75" customHeight="1">
      <c r="A102" s="1"/>
      <c r="B102" s="157"/>
      <c r="C102" s="1"/>
      <c r="D102" s="1"/>
      <c r="E102" s="1"/>
      <c r="F102" s="128"/>
      <c r="G102" s="1"/>
      <c r="H102" s="1"/>
      <c r="I102" s="1"/>
      <c r="J102" s="1"/>
      <c r="K102" s="100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2.75" customHeight="1">
      <c r="A103" s="1"/>
      <c r="B103" s="157"/>
      <c r="C103" s="1"/>
      <c r="D103" s="1"/>
      <c r="E103" s="1"/>
      <c r="F103" s="128"/>
      <c r="G103" s="1"/>
      <c r="H103" s="1"/>
      <c r="I103" s="1"/>
      <c r="J103" s="1"/>
      <c r="K103" s="100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2.75" customHeight="1">
      <c r="A104" s="1"/>
      <c r="B104" s="157"/>
      <c r="C104" s="1"/>
      <c r="D104" s="1"/>
      <c r="E104" s="1"/>
      <c r="F104" s="128"/>
      <c r="G104" s="1"/>
      <c r="H104" s="1"/>
      <c r="I104" s="1"/>
      <c r="J104" s="1"/>
      <c r="K104" s="100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2.75" customHeight="1">
      <c r="A105" s="1"/>
      <c r="B105" s="157"/>
      <c r="C105" s="1"/>
      <c r="D105" s="1"/>
      <c r="E105" s="1"/>
      <c r="F105" s="128"/>
      <c r="G105" s="1"/>
      <c r="H105" s="1"/>
      <c r="I105" s="1"/>
      <c r="J105" s="1"/>
      <c r="K105" s="100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2.75" customHeight="1">
      <c r="A106" s="1"/>
      <c r="B106" s="157"/>
      <c r="C106" s="1"/>
      <c r="D106" s="1"/>
      <c r="E106" s="1"/>
      <c r="F106" s="128"/>
      <c r="G106" s="1"/>
      <c r="H106" s="1"/>
      <c r="I106" s="1"/>
      <c r="J106" s="1"/>
      <c r="K106" s="100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2.75" customHeight="1">
      <c r="A107" s="1"/>
      <c r="B107" s="157"/>
      <c r="C107" s="1"/>
      <c r="D107" s="1"/>
      <c r="E107" s="1"/>
      <c r="F107" s="128"/>
      <c r="G107" s="1"/>
      <c r="H107" s="1"/>
      <c r="I107" s="1"/>
      <c r="J107" s="1"/>
      <c r="K107" s="100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2.75" customHeight="1">
      <c r="A108" s="1"/>
      <c r="B108" s="157"/>
      <c r="C108" s="1"/>
      <c r="D108" s="1"/>
      <c r="E108" s="1"/>
      <c r="F108" s="128"/>
      <c r="G108" s="1"/>
      <c r="H108" s="1"/>
      <c r="I108" s="1"/>
      <c r="J108" s="1"/>
      <c r="K108" s="100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2.75" customHeight="1">
      <c r="A109" s="1"/>
      <c r="B109" s="157"/>
      <c r="C109" s="1"/>
      <c r="D109" s="1"/>
      <c r="E109" s="1"/>
      <c r="F109" s="128"/>
      <c r="G109" s="1"/>
      <c r="H109" s="1"/>
      <c r="I109" s="1"/>
      <c r="J109" s="1"/>
      <c r="K109" s="100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2.75" customHeight="1">
      <c r="A110" s="1"/>
      <c r="B110" s="157"/>
      <c r="C110" s="1"/>
      <c r="D110" s="1"/>
      <c r="E110" s="1"/>
      <c r="F110" s="128"/>
      <c r="G110" s="1"/>
      <c r="H110" s="1"/>
      <c r="I110" s="1"/>
      <c r="J110" s="1"/>
      <c r="K110" s="100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2.75" customHeight="1">
      <c r="A111" s="1"/>
      <c r="B111" s="157"/>
      <c r="C111" s="1"/>
      <c r="D111" s="1"/>
      <c r="E111" s="1"/>
      <c r="F111" s="128"/>
      <c r="G111" s="1"/>
      <c r="H111" s="1"/>
      <c r="I111" s="1"/>
      <c r="J111" s="1"/>
      <c r="K111" s="100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2.75" customHeight="1">
      <c r="A112" s="1"/>
      <c r="B112" s="157"/>
      <c r="C112" s="1"/>
      <c r="D112" s="1"/>
      <c r="E112" s="1"/>
      <c r="F112" s="128"/>
      <c r="G112" s="1"/>
      <c r="H112" s="1"/>
      <c r="I112" s="1"/>
      <c r="J112" s="1"/>
      <c r="K112" s="100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2.75" customHeight="1">
      <c r="A113" s="1"/>
      <c r="B113" s="157"/>
      <c r="C113" s="1"/>
      <c r="D113" s="1"/>
      <c r="E113" s="1"/>
      <c r="F113" s="128"/>
      <c r="G113" s="1"/>
      <c r="H113" s="1"/>
      <c r="I113" s="1"/>
      <c r="J113" s="1"/>
      <c r="K113" s="100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2.75" customHeight="1">
      <c r="A114" s="1"/>
      <c r="B114" s="157"/>
      <c r="C114" s="1"/>
      <c r="D114" s="1"/>
      <c r="E114" s="1"/>
      <c r="F114" s="128"/>
      <c r="G114" s="1"/>
      <c r="H114" s="1"/>
      <c r="I114" s="1"/>
      <c r="J114" s="1"/>
      <c r="K114" s="100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2.75" customHeight="1">
      <c r="A115" s="1"/>
      <c r="B115" s="157"/>
      <c r="C115" s="1"/>
      <c r="D115" s="1"/>
      <c r="E115" s="1"/>
      <c r="F115" s="128"/>
      <c r="G115" s="1"/>
      <c r="H115" s="1"/>
      <c r="I115" s="1"/>
      <c r="J115" s="1"/>
      <c r="K115" s="100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2.75" customHeight="1">
      <c r="A116" s="1"/>
      <c r="B116" s="157"/>
      <c r="C116" s="1"/>
      <c r="D116" s="1"/>
      <c r="E116" s="1"/>
      <c r="F116" s="128"/>
      <c r="G116" s="1"/>
      <c r="H116" s="1"/>
      <c r="I116" s="1"/>
      <c r="J116" s="1"/>
      <c r="K116" s="100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2.75" customHeight="1">
      <c r="A117" s="1"/>
      <c r="B117" s="157"/>
      <c r="C117" s="1"/>
      <c r="D117" s="1"/>
      <c r="E117" s="1"/>
      <c r="F117" s="128"/>
      <c r="G117" s="1"/>
      <c r="H117" s="1"/>
      <c r="I117" s="1"/>
      <c r="J117" s="1"/>
      <c r="K117" s="100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2.75" customHeight="1">
      <c r="A118" s="1"/>
      <c r="B118" s="157"/>
      <c r="C118" s="1"/>
      <c r="D118" s="1"/>
      <c r="E118" s="1"/>
      <c r="F118" s="128"/>
      <c r="G118" s="1"/>
      <c r="H118" s="1"/>
      <c r="I118" s="1"/>
      <c r="J118" s="1"/>
      <c r="K118" s="100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2.75" customHeight="1">
      <c r="A119" s="1"/>
      <c r="B119" s="157"/>
      <c r="C119" s="1"/>
      <c r="D119" s="1"/>
      <c r="E119" s="1"/>
      <c r="F119" s="128"/>
      <c r="G119" s="1"/>
      <c r="H119" s="1"/>
      <c r="I119" s="1"/>
      <c r="J119" s="1"/>
      <c r="K119" s="100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2.75" customHeight="1">
      <c r="A120" s="1"/>
      <c r="B120" s="157"/>
      <c r="C120" s="1"/>
      <c r="D120" s="1"/>
      <c r="E120" s="1"/>
      <c r="F120" s="128"/>
      <c r="G120" s="1"/>
      <c r="H120" s="1"/>
      <c r="I120" s="1"/>
      <c r="J120" s="1"/>
      <c r="K120" s="100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2.75" customHeight="1">
      <c r="A121" s="1"/>
      <c r="B121" s="157"/>
      <c r="C121" s="1"/>
      <c r="D121" s="1"/>
      <c r="E121" s="1"/>
      <c r="F121" s="128"/>
      <c r="G121" s="1"/>
      <c r="H121" s="1"/>
      <c r="I121" s="1"/>
      <c r="J121" s="1"/>
      <c r="K121" s="100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2.75" customHeight="1">
      <c r="A122" s="1"/>
      <c r="B122" s="157"/>
      <c r="C122" s="1"/>
      <c r="D122" s="1"/>
      <c r="E122" s="1"/>
      <c r="F122" s="128"/>
      <c r="G122" s="1"/>
      <c r="H122" s="1"/>
      <c r="I122" s="1"/>
      <c r="J122" s="1"/>
      <c r="K122" s="100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2.75" customHeight="1">
      <c r="A123" s="1"/>
      <c r="B123" s="157"/>
      <c r="C123" s="1"/>
      <c r="D123" s="1"/>
      <c r="E123" s="1"/>
      <c r="F123" s="128"/>
      <c r="G123" s="1"/>
      <c r="H123" s="1"/>
      <c r="I123" s="1"/>
      <c r="J123" s="1"/>
      <c r="K123" s="100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2.75" customHeight="1">
      <c r="A124" s="1"/>
      <c r="B124" s="157"/>
      <c r="C124" s="1"/>
      <c r="D124" s="1"/>
      <c r="E124" s="1"/>
      <c r="F124" s="128"/>
      <c r="G124" s="1"/>
      <c r="H124" s="1"/>
      <c r="I124" s="1"/>
      <c r="J124" s="1"/>
      <c r="K124" s="100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2.75" customHeight="1">
      <c r="A125" s="1"/>
      <c r="B125" s="157"/>
      <c r="C125" s="1"/>
      <c r="D125" s="1"/>
      <c r="E125" s="1"/>
      <c r="F125" s="128"/>
      <c r="G125" s="1"/>
      <c r="H125" s="1"/>
      <c r="I125" s="1"/>
      <c r="J125" s="1"/>
      <c r="K125" s="100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2.75" customHeight="1">
      <c r="A126" s="1"/>
      <c r="B126" s="157"/>
      <c r="C126" s="1"/>
      <c r="D126" s="1"/>
      <c r="E126" s="1"/>
      <c r="F126" s="128"/>
      <c r="G126" s="1"/>
      <c r="H126" s="1"/>
      <c r="I126" s="1"/>
      <c r="J126" s="1"/>
      <c r="K126" s="100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2.75" customHeight="1">
      <c r="A127" s="1"/>
      <c r="B127" s="157"/>
      <c r="C127" s="1"/>
      <c r="D127" s="1"/>
      <c r="E127" s="1"/>
      <c r="F127" s="128"/>
      <c r="G127" s="1"/>
      <c r="H127" s="1"/>
      <c r="I127" s="1"/>
      <c r="J127" s="1"/>
      <c r="K127" s="100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2.75" customHeight="1">
      <c r="A128" s="1"/>
      <c r="B128" s="157"/>
      <c r="C128" s="1"/>
      <c r="D128" s="1"/>
      <c r="E128" s="1"/>
      <c r="F128" s="128"/>
      <c r="G128" s="1"/>
      <c r="H128" s="1"/>
      <c r="I128" s="1"/>
      <c r="J128" s="1"/>
      <c r="K128" s="100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2.75" customHeight="1">
      <c r="A129" s="1"/>
      <c r="B129" s="157"/>
      <c r="C129" s="1"/>
      <c r="D129" s="1"/>
      <c r="E129" s="1"/>
      <c r="F129" s="128"/>
      <c r="G129" s="1"/>
      <c r="H129" s="1"/>
      <c r="I129" s="1"/>
      <c r="J129" s="1"/>
      <c r="K129" s="100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2.75" customHeight="1">
      <c r="A130" s="1"/>
      <c r="B130" s="157"/>
      <c r="C130" s="1"/>
      <c r="D130" s="1"/>
      <c r="E130" s="1"/>
      <c r="F130" s="128"/>
      <c r="G130" s="1"/>
      <c r="H130" s="1"/>
      <c r="I130" s="1"/>
      <c r="J130" s="1"/>
      <c r="K130" s="100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2.75" customHeight="1">
      <c r="A131" s="1"/>
      <c r="B131" s="157"/>
      <c r="C131" s="1"/>
      <c r="D131" s="1"/>
      <c r="E131" s="1"/>
      <c r="F131" s="128"/>
      <c r="G131" s="1"/>
      <c r="H131" s="1"/>
      <c r="I131" s="1"/>
      <c r="J131" s="1"/>
      <c r="K131" s="100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2.75" customHeight="1">
      <c r="A132" s="1"/>
      <c r="B132" s="157"/>
      <c r="C132" s="1"/>
      <c r="D132" s="1"/>
      <c r="E132" s="1"/>
      <c r="F132" s="128"/>
      <c r="G132" s="1"/>
      <c r="H132" s="1"/>
      <c r="I132" s="1"/>
      <c r="J132" s="1"/>
      <c r="K132" s="100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2.75" customHeight="1">
      <c r="A133" s="1"/>
      <c r="B133" s="157"/>
      <c r="C133" s="1"/>
      <c r="D133" s="1"/>
      <c r="E133" s="1"/>
      <c r="F133" s="128"/>
      <c r="G133" s="1"/>
      <c r="H133" s="1"/>
      <c r="I133" s="1"/>
      <c r="J133" s="1"/>
      <c r="K133" s="100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2.75" customHeight="1">
      <c r="A134" s="1"/>
      <c r="B134" s="157"/>
      <c r="C134" s="1"/>
      <c r="D134" s="1"/>
      <c r="E134" s="1"/>
      <c r="F134" s="128"/>
      <c r="G134" s="1"/>
      <c r="H134" s="1"/>
      <c r="I134" s="1"/>
      <c r="J134" s="1"/>
      <c r="K134" s="100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2.75" customHeight="1">
      <c r="A135" s="1"/>
      <c r="B135" s="157"/>
      <c r="C135" s="1"/>
      <c r="D135" s="1"/>
      <c r="E135" s="1"/>
      <c r="F135" s="128"/>
      <c r="G135" s="1"/>
      <c r="H135" s="1"/>
      <c r="I135" s="1"/>
      <c r="J135" s="1"/>
      <c r="K135" s="100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2.75" customHeight="1">
      <c r="A136" s="1"/>
      <c r="B136" s="157"/>
      <c r="C136" s="1"/>
      <c r="D136" s="1"/>
      <c r="E136" s="1"/>
      <c r="F136" s="128"/>
      <c r="G136" s="1"/>
      <c r="H136" s="1"/>
      <c r="I136" s="1"/>
      <c r="J136" s="1"/>
      <c r="K136" s="100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2.75" customHeight="1">
      <c r="A137" s="1"/>
      <c r="B137" s="157"/>
      <c r="C137" s="1"/>
      <c r="D137" s="1"/>
      <c r="E137" s="1"/>
      <c r="F137" s="128"/>
      <c r="G137" s="1"/>
      <c r="H137" s="1"/>
      <c r="I137" s="1"/>
      <c r="J137" s="1"/>
      <c r="K137" s="100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2.75" customHeight="1">
      <c r="A138" s="1"/>
      <c r="B138" s="157"/>
      <c r="C138" s="1"/>
      <c r="D138" s="1"/>
      <c r="E138" s="1"/>
      <c r="F138" s="128"/>
      <c r="G138" s="1"/>
      <c r="H138" s="1"/>
      <c r="I138" s="1"/>
      <c r="J138" s="1"/>
      <c r="K138" s="100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2.75" customHeight="1">
      <c r="A139" s="1"/>
      <c r="B139" s="157"/>
      <c r="C139" s="1"/>
      <c r="D139" s="1"/>
      <c r="E139" s="1"/>
      <c r="F139" s="128"/>
      <c r="G139" s="1"/>
      <c r="H139" s="1"/>
      <c r="I139" s="1"/>
      <c r="J139" s="1"/>
      <c r="K139" s="100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2.75" customHeight="1">
      <c r="A140" s="1"/>
      <c r="B140" s="157"/>
      <c r="C140" s="1"/>
      <c r="D140" s="1"/>
      <c r="E140" s="1"/>
      <c r="F140" s="128"/>
      <c r="G140" s="1"/>
      <c r="H140" s="1"/>
      <c r="I140" s="1"/>
      <c r="J140" s="1"/>
      <c r="K140" s="100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2.75" customHeight="1">
      <c r="A141" s="1"/>
      <c r="B141" s="157"/>
      <c r="C141" s="1"/>
      <c r="D141" s="1"/>
      <c r="E141" s="1"/>
      <c r="F141" s="128"/>
      <c r="G141" s="1"/>
      <c r="H141" s="1"/>
      <c r="I141" s="1"/>
      <c r="J141" s="1"/>
      <c r="K141" s="100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2.75" customHeight="1">
      <c r="A142" s="1"/>
      <c r="B142" s="157"/>
      <c r="C142" s="1"/>
      <c r="D142" s="1"/>
      <c r="E142" s="1"/>
      <c r="F142" s="128"/>
      <c r="G142" s="1"/>
      <c r="H142" s="1"/>
      <c r="I142" s="1"/>
      <c r="J142" s="1"/>
      <c r="K142" s="100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2.75" customHeight="1">
      <c r="A143" s="1"/>
      <c r="B143" s="157"/>
      <c r="C143" s="1"/>
      <c r="D143" s="1"/>
      <c r="E143" s="1"/>
      <c r="F143" s="128"/>
      <c r="G143" s="1"/>
      <c r="H143" s="1"/>
      <c r="I143" s="1"/>
      <c r="J143" s="1"/>
      <c r="K143" s="100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2.75" customHeight="1">
      <c r="A144" s="1"/>
      <c r="B144" s="157"/>
      <c r="C144" s="1"/>
      <c r="D144" s="1"/>
      <c r="E144" s="1"/>
      <c r="F144" s="128"/>
      <c r="G144" s="1"/>
      <c r="H144" s="1"/>
      <c r="I144" s="1"/>
      <c r="J144" s="1"/>
      <c r="K144" s="100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2.75" customHeight="1">
      <c r="A145" s="1"/>
      <c r="B145" s="157"/>
      <c r="C145" s="1"/>
      <c r="D145" s="1"/>
      <c r="E145" s="1"/>
      <c r="F145" s="128"/>
      <c r="G145" s="1"/>
      <c r="H145" s="1"/>
      <c r="I145" s="1"/>
      <c r="J145" s="1"/>
      <c r="K145" s="100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2.75" customHeight="1">
      <c r="A146" s="1"/>
      <c r="B146" s="157"/>
      <c r="C146" s="1"/>
      <c r="D146" s="1"/>
      <c r="E146" s="1"/>
      <c r="F146" s="128"/>
      <c r="G146" s="1"/>
      <c r="H146" s="1"/>
      <c r="I146" s="1"/>
      <c r="J146" s="1"/>
      <c r="K146" s="100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2.75" customHeight="1">
      <c r="A147" s="1"/>
      <c r="B147" s="157"/>
      <c r="C147" s="1"/>
      <c r="D147" s="1"/>
      <c r="E147" s="1"/>
      <c r="F147" s="128"/>
      <c r="G147" s="1"/>
      <c r="H147" s="1"/>
      <c r="I147" s="1"/>
      <c r="J147" s="1"/>
      <c r="K147" s="100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2.75" customHeight="1">
      <c r="A148" s="1"/>
      <c r="B148" s="157"/>
      <c r="C148" s="1"/>
      <c r="D148" s="1"/>
      <c r="E148" s="1"/>
      <c r="F148" s="128"/>
      <c r="G148" s="1"/>
      <c r="H148" s="1"/>
      <c r="I148" s="1"/>
      <c r="J148" s="1"/>
      <c r="K148" s="100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2.75" customHeight="1">
      <c r="A149" s="1"/>
      <c r="B149" s="157"/>
      <c r="C149" s="1"/>
      <c r="D149" s="1"/>
      <c r="E149" s="1"/>
      <c r="F149" s="128"/>
      <c r="G149" s="1"/>
      <c r="H149" s="1"/>
      <c r="I149" s="1"/>
      <c r="J149" s="1"/>
      <c r="K149" s="100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2.75" customHeight="1">
      <c r="A150" s="1"/>
      <c r="B150" s="157"/>
      <c r="C150" s="1"/>
      <c r="D150" s="1"/>
      <c r="E150" s="1"/>
      <c r="F150" s="128"/>
      <c r="G150" s="1"/>
      <c r="H150" s="1"/>
      <c r="I150" s="1"/>
      <c r="J150" s="1"/>
      <c r="K150" s="100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2.75" customHeight="1">
      <c r="A151" s="1"/>
      <c r="B151" s="157"/>
      <c r="C151" s="1"/>
      <c r="D151" s="1"/>
      <c r="E151" s="1"/>
      <c r="F151" s="128"/>
      <c r="G151" s="1"/>
      <c r="H151" s="1"/>
      <c r="I151" s="1"/>
      <c r="J151" s="1"/>
      <c r="K151" s="100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2.75" customHeight="1">
      <c r="A152" s="1"/>
      <c r="B152" s="157"/>
      <c r="C152" s="1"/>
      <c r="D152" s="1"/>
      <c r="E152" s="1"/>
      <c r="F152" s="128"/>
      <c r="G152" s="1"/>
      <c r="H152" s="1"/>
      <c r="I152" s="1"/>
      <c r="J152" s="1"/>
      <c r="K152" s="100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2.75" customHeight="1">
      <c r="A153" s="1"/>
      <c r="B153" s="157"/>
      <c r="C153" s="1"/>
      <c r="D153" s="1"/>
      <c r="E153" s="1"/>
      <c r="F153" s="128"/>
      <c r="G153" s="1"/>
      <c r="H153" s="1"/>
      <c r="I153" s="1"/>
      <c r="J153" s="1"/>
      <c r="K153" s="100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2.75" customHeight="1">
      <c r="A154" s="1"/>
      <c r="B154" s="157"/>
      <c r="C154" s="1"/>
      <c r="D154" s="1"/>
      <c r="E154" s="1"/>
      <c r="F154" s="128"/>
      <c r="G154" s="1"/>
      <c r="H154" s="1"/>
      <c r="I154" s="1"/>
      <c r="J154" s="1"/>
      <c r="K154" s="100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2.75" customHeight="1">
      <c r="A155" s="1"/>
      <c r="B155" s="157"/>
      <c r="C155" s="1"/>
      <c r="D155" s="1"/>
      <c r="E155" s="1"/>
      <c r="F155" s="128"/>
      <c r="G155" s="1"/>
      <c r="H155" s="1"/>
      <c r="I155" s="1"/>
      <c r="J155" s="1"/>
      <c r="K155" s="100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2.75" customHeight="1">
      <c r="A156" s="1"/>
      <c r="B156" s="157"/>
      <c r="C156" s="1"/>
      <c r="D156" s="1"/>
      <c r="E156" s="1"/>
      <c r="F156" s="128"/>
      <c r="G156" s="1"/>
      <c r="H156" s="1"/>
      <c r="I156" s="1"/>
      <c r="J156" s="1"/>
      <c r="K156" s="100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2.75" customHeight="1">
      <c r="A157" s="1"/>
      <c r="B157" s="157"/>
      <c r="C157" s="1"/>
      <c r="D157" s="1"/>
      <c r="E157" s="1"/>
      <c r="F157" s="128"/>
      <c r="G157" s="1"/>
      <c r="H157" s="1"/>
      <c r="I157" s="1"/>
      <c r="J157" s="1"/>
      <c r="K157" s="100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2.75" customHeight="1">
      <c r="A158" s="1"/>
      <c r="B158" s="157"/>
      <c r="C158" s="1"/>
      <c r="D158" s="1"/>
      <c r="E158" s="1"/>
      <c r="F158" s="128"/>
      <c r="G158" s="1"/>
      <c r="H158" s="1"/>
      <c r="I158" s="1"/>
      <c r="J158" s="1"/>
      <c r="K158" s="100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2.75" customHeight="1">
      <c r="A159" s="1"/>
      <c r="B159" s="157"/>
      <c r="C159" s="1"/>
      <c r="D159" s="1"/>
      <c r="E159" s="1"/>
      <c r="F159" s="128"/>
      <c r="G159" s="1"/>
      <c r="H159" s="1"/>
      <c r="I159" s="1"/>
      <c r="J159" s="1"/>
      <c r="K159" s="100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2.75" customHeight="1">
      <c r="A160" s="1"/>
      <c r="B160" s="157"/>
      <c r="C160" s="1"/>
      <c r="D160" s="1"/>
      <c r="E160" s="1"/>
      <c r="F160" s="128"/>
      <c r="G160" s="1"/>
      <c r="H160" s="1"/>
      <c r="I160" s="1"/>
      <c r="J160" s="1"/>
      <c r="K160" s="100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2.75" customHeight="1">
      <c r="A161" s="1"/>
      <c r="B161" s="157"/>
      <c r="C161" s="1"/>
      <c r="D161" s="1"/>
      <c r="E161" s="1"/>
      <c r="F161" s="128"/>
      <c r="G161" s="1"/>
      <c r="H161" s="1"/>
      <c r="I161" s="1"/>
      <c r="J161" s="1"/>
      <c r="K161" s="100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2.75" customHeight="1">
      <c r="A162" s="1"/>
      <c r="B162" s="157"/>
      <c r="C162" s="1"/>
      <c r="D162" s="1"/>
      <c r="E162" s="1"/>
      <c r="F162" s="128"/>
      <c r="G162" s="1"/>
      <c r="H162" s="1"/>
      <c r="I162" s="1"/>
      <c r="J162" s="1"/>
      <c r="K162" s="100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2.75" customHeight="1">
      <c r="A163" s="1"/>
      <c r="B163" s="157"/>
      <c r="C163" s="1"/>
      <c r="D163" s="1"/>
      <c r="E163" s="1"/>
      <c r="F163" s="128"/>
      <c r="G163" s="1"/>
      <c r="H163" s="1"/>
      <c r="I163" s="1"/>
      <c r="J163" s="1"/>
      <c r="K163" s="100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2.75" customHeight="1">
      <c r="A164" s="1"/>
      <c r="B164" s="157"/>
      <c r="C164" s="1"/>
      <c r="D164" s="1"/>
      <c r="E164" s="1"/>
      <c r="F164" s="128"/>
      <c r="G164" s="1"/>
      <c r="H164" s="1"/>
      <c r="I164" s="1"/>
      <c r="J164" s="1"/>
      <c r="K164" s="100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2.75" customHeight="1">
      <c r="A165" s="1"/>
      <c r="B165" s="157"/>
      <c r="C165" s="1"/>
      <c r="D165" s="1"/>
      <c r="E165" s="1"/>
      <c r="F165" s="128"/>
      <c r="G165" s="1"/>
      <c r="H165" s="1"/>
      <c r="I165" s="1"/>
      <c r="J165" s="1"/>
      <c r="K165" s="100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2.75" customHeight="1">
      <c r="A166" s="1"/>
      <c r="B166" s="157"/>
      <c r="C166" s="1"/>
      <c r="D166" s="1"/>
      <c r="E166" s="1"/>
      <c r="F166" s="128"/>
      <c r="G166" s="1"/>
      <c r="H166" s="1"/>
      <c r="I166" s="1"/>
      <c r="J166" s="1"/>
      <c r="K166" s="100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2.75" customHeight="1">
      <c r="A167" s="1"/>
      <c r="B167" s="157"/>
      <c r="C167" s="1"/>
      <c r="D167" s="1"/>
      <c r="E167" s="1"/>
      <c r="F167" s="128"/>
      <c r="G167" s="1"/>
      <c r="H167" s="1"/>
      <c r="I167" s="1"/>
      <c r="J167" s="1"/>
      <c r="K167" s="100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2.75" customHeight="1">
      <c r="A168" s="1"/>
      <c r="B168" s="157"/>
      <c r="C168" s="1"/>
      <c r="D168" s="1"/>
      <c r="E168" s="1"/>
      <c r="F168" s="128"/>
      <c r="G168" s="1"/>
      <c r="H168" s="1"/>
      <c r="I168" s="1"/>
      <c r="J168" s="1"/>
      <c r="K168" s="100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2.75" customHeight="1">
      <c r="A169" s="1"/>
      <c r="B169" s="157"/>
      <c r="C169" s="1"/>
      <c r="D169" s="1"/>
      <c r="E169" s="1"/>
      <c r="F169" s="128"/>
      <c r="G169" s="1"/>
      <c r="H169" s="1"/>
      <c r="I169" s="1"/>
      <c r="J169" s="1"/>
      <c r="K169" s="100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2.75" customHeight="1">
      <c r="A170" s="1"/>
      <c r="B170" s="157"/>
      <c r="C170" s="1"/>
      <c r="D170" s="1"/>
      <c r="E170" s="1"/>
      <c r="F170" s="128"/>
      <c r="G170" s="1"/>
      <c r="H170" s="1"/>
      <c r="I170" s="1"/>
      <c r="J170" s="1"/>
      <c r="K170" s="100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2.75" customHeight="1">
      <c r="A171" s="1"/>
      <c r="B171" s="157"/>
      <c r="C171" s="1"/>
      <c r="D171" s="1"/>
      <c r="E171" s="1"/>
      <c r="F171" s="128"/>
      <c r="G171" s="1"/>
      <c r="H171" s="1"/>
      <c r="I171" s="1"/>
      <c r="J171" s="1"/>
      <c r="K171" s="100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2.75" customHeight="1">
      <c r="A172" s="1"/>
      <c r="B172" s="157"/>
      <c r="C172" s="1"/>
      <c r="D172" s="1"/>
      <c r="E172" s="1"/>
      <c r="F172" s="128"/>
      <c r="G172" s="1"/>
      <c r="H172" s="1"/>
      <c r="I172" s="1"/>
      <c r="J172" s="1"/>
      <c r="K172" s="100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2.75" customHeight="1">
      <c r="A173" s="1"/>
      <c r="B173" s="157"/>
      <c r="C173" s="1"/>
      <c r="D173" s="1"/>
      <c r="E173" s="1"/>
      <c r="F173" s="128"/>
      <c r="G173" s="1"/>
      <c r="H173" s="1"/>
      <c r="I173" s="1"/>
      <c r="J173" s="1"/>
      <c r="K173" s="100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2.75" customHeight="1">
      <c r="A174" s="1"/>
      <c r="B174" s="157"/>
      <c r="C174" s="1"/>
      <c r="D174" s="1"/>
      <c r="E174" s="1"/>
      <c r="F174" s="128"/>
      <c r="G174" s="1"/>
      <c r="H174" s="1"/>
      <c r="I174" s="1"/>
      <c r="J174" s="1"/>
      <c r="K174" s="100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2.75" customHeight="1">
      <c r="A175" s="1"/>
      <c r="B175" s="157"/>
      <c r="C175" s="1"/>
      <c r="D175" s="1"/>
      <c r="E175" s="1"/>
      <c r="F175" s="128"/>
      <c r="G175" s="1"/>
      <c r="H175" s="1"/>
      <c r="I175" s="1"/>
      <c r="J175" s="1"/>
      <c r="K175" s="100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2.75" customHeight="1">
      <c r="A176" s="1"/>
      <c r="B176" s="157"/>
      <c r="C176" s="1"/>
      <c r="D176" s="1"/>
      <c r="E176" s="1"/>
      <c r="F176" s="128"/>
      <c r="G176" s="1"/>
      <c r="H176" s="1"/>
      <c r="I176" s="1"/>
      <c r="J176" s="1"/>
      <c r="K176" s="100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2.75" customHeight="1">
      <c r="A177" s="1"/>
      <c r="B177" s="157"/>
      <c r="C177" s="1"/>
      <c r="D177" s="1"/>
      <c r="E177" s="1"/>
      <c r="F177" s="128"/>
      <c r="G177" s="1"/>
      <c r="H177" s="1"/>
      <c r="I177" s="1"/>
      <c r="J177" s="1"/>
      <c r="K177" s="100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2.75" customHeight="1">
      <c r="A178" s="1"/>
      <c r="B178" s="157"/>
      <c r="C178" s="1"/>
      <c r="D178" s="1"/>
      <c r="E178" s="1"/>
      <c r="F178" s="128"/>
      <c r="G178" s="1"/>
      <c r="H178" s="1"/>
      <c r="I178" s="1"/>
      <c r="J178" s="1"/>
      <c r="K178" s="100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2.75" customHeight="1">
      <c r="A179" s="1"/>
      <c r="B179" s="157"/>
      <c r="C179" s="1"/>
      <c r="D179" s="1"/>
      <c r="E179" s="1"/>
      <c r="F179" s="128"/>
      <c r="G179" s="1"/>
      <c r="H179" s="1"/>
      <c r="I179" s="1"/>
      <c r="J179" s="1"/>
      <c r="K179" s="100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2.75" customHeight="1">
      <c r="A180" s="1"/>
      <c r="B180" s="157"/>
      <c r="C180" s="1"/>
      <c r="D180" s="1"/>
      <c r="E180" s="1"/>
      <c r="F180" s="128"/>
      <c r="G180" s="1"/>
      <c r="H180" s="1"/>
      <c r="I180" s="1"/>
      <c r="J180" s="1"/>
      <c r="K180" s="100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2.75" customHeight="1">
      <c r="A181" s="1"/>
      <c r="B181" s="157"/>
      <c r="C181" s="1"/>
      <c r="D181" s="1"/>
      <c r="E181" s="1"/>
      <c r="F181" s="128"/>
      <c r="G181" s="1"/>
      <c r="H181" s="1"/>
      <c r="I181" s="1"/>
      <c r="J181" s="1"/>
      <c r="K181" s="100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2.75" customHeight="1">
      <c r="A182" s="1"/>
      <c r="B182" s="157"/>
      <c r="C182" s="1"/>
      <c r="D182" s="1"/>
      <c r="E182" s="1"/>
      <c r="F182" s="128"/>
      <c r="G182" s="1"/>
      <c r="H182" s="1"/>
      <c r="I182" s="1"/>
      <c r="J182" s="1"/>
      <c r="K182" s="100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2.75" customHeight="1">
      <c r="A183" s="1"/>
      <c r="B183" s="157"/>
      <c r="C183" s="1"/>
      <c r="D183" s="1"/>
      <c r="E183" s="1"/>
      <c r="F183" s="128"/>
      <c r="G183" s="1"/>
      <c r="H183" s="1"/>
      <c r="I183" s="1"/>
      <c r="J183" s="1"/>
      <c r="K183" s="100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2.75" customHeight="1">
      <c r="A184" s="1"/>
      <c r="B184" s="157"/>
      <c r="C184" s="1"/>
      <c r="D184" s="1"/>
      <c r="E184" s="1"/>
      <c r="F184" s="128"/>
      <c r="G184" s="1"/>
      <c r="H184" s="1"/>
      <c r="I184" s="1"/>
      <c r="J184" s="1"/>
      <c r="K184" s="100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2.75" customHeight="1">
      <c r="A185" s="1"/>
      <c r="B185" s="157"/>
      <c r="C185" s="1"/>
      <c r="D185" s="1"/>
      <c r="E185" s="1"/>
      <c r="F185" s="128"/>
      <c r="G185" s="1"/>
      <c r="H185" s="1"/>
      <c r="I185" s="1"/>
      <c r="J185" s="1"/>
      <c r="K185" s="100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2.75" customHeight="1">
      <c r="A186" s="1"/>
      <c r="B186" s="157"/>
      <c r="C186" s="1"/>
      <c r="D186" s="1"/>
      <c r="E186" s="1"/>
      <c r="F186" s="128"/>
      <c r="G186" s="1"/>
      <c r="H186" s="1"/>
      <c r="I186" s="1"/>
      <c r="J186" s="1"/>
      <c r="K186" s="100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2.75" customHeight="1">
      <c r="A187" s="1"/>
      <c r="B187" s="157"/>
      <c r="C187" s="1"/>
      <c r="D187" s="1"/>
      <c r="E187" s="1"/>
      <c r="F187" s="128"/>
      <c r="G187" s="1"/>
      <c r="H187" s="1"/>
      <c r="I187" s="1"/>
      <c r="J187" s="1"/>
      <c r="K187" s="100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2.75" customHeight="1">
      <c r="A188" s="1"/>
      <c r="B188" s="157"/>
      <c r="C188" s="1"/>
      <c r="D188" s="1"/>
      <c r="E188" s="1"/>
      <c r="F188" s="128"/>
      <c r="G188" s="1"/>
      <c r="H188" s="1"/>
      <c r="I188" s="1"/>
      <c r="J188" s="1"/>
      <c r="K188" s="100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2.75" customHeight="1">
      <c r="A189" s="1"/>
      <c r="B189" s="157"/>
      <c r="C189" s="1"/>
      <c r="D189" s="1"/>
      <c r="E189" s="1"/>
      <c r="F189" s="128"/>
      <c r="G189" s="1"/>
      <c r="H189" s="1"/>
      <c r="I189" s="1"/>
      <c r="J189" s="1"/>
      <c r="K189" s="100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2.75" customHeight="1">
      <c r="A190" s="1"/>
      <c r="B190" s="157"/>
      <c r="C190" s="1"/>
      <c r="D190" s="1"/>
      <c r="E190" s="1"/>
      <c r="F190" s="128"/>
      <c r="G190" s="1"/>
      <c r="H190" s="1"/>
      <c r="I190" s="1"/>
      <c r="J190" s="1"/>
      <c r="K190" s="100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2.75" customHeight="1">
      <c r="A191" s="1"/>
      <c r="B191" s="157"/>
      <c r="C191" s="1"/>
      <c r="D191" s="1"/>
      <c r="E191" s="1"/>
      <c r="F191" s="128"/>
      <c r="G191" s="1"/>
      <c r="H191" s="1"/>
      <c r="I191" s="1"/>
      <c r="J191" s="1"/>
      <c r="K191" s="100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2.75" customHeight="1">
      <c r="A192" s="1"/>
      <c r="B192" s="157"/>
      <c r="C192" s="1"/>
      <c r="D192" s="1"/>
      <c r="E192" s="1"/>
      <c r="F192" s="128"/>
      <c r="G192" s="1"/>
      <c r="H192" s="1"/>
      <c r="I192" s="1"/>
      <c r="J192" s="1"/>
      <c r="K192" s="100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2.75" customHeight="1">
      <c r="A193" s="1"/>
      <c r="B193" s="157"/>
      <c r="C193" s="1"/>
      <c r="D193" s="1"/>
      <c r="E193" s="1"/>
      <c r="F193" s="128"/>
      <c r="G193" s="1"/>
      <c r="H193" s="1"/>
      <c r="I193" s="1"/>
      <c r="J193" s="1"/>
      <c r="K193" s="100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2.75" customHeight="1">
      <c r="A194" s="1"/>
      <c r="B194" s="157"/>
      <c r="C194" s="1"/>
      <c r="D194" s="1"/>
      <c r="E194" s="1"/>
      <c r="F194" s="128"/>
      <c r="G194" s="1"/>
      <c r="H194" s="1"/>
      <c r="I194" s="1"/>
      <c r="J194" s="1"/>
      <c r="K194" s="100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2.75" customHeight="1">
      <c r="A195" s="1"/>
      <c r="B195" s="157"/>
      <c r="C195" s="1"/>
      <c r="D195" s="1"/>
      <c r="E195" s="1"/>
      <c r="F195" s="128"/>
      <c r="G195" s="1"/>
      <c r="H195" s="1"/>
      <c r="I195" s="1"/>
      <c r="J195" s="1"/>
      <c r="K195" s="100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2.75" customHeight="1">
      <c r="A196" s="1"/>
      <c r="B196" s="157"/>
      <c r="C196" s="1"/>
      <c r="D196" s="1"/>
      <c r="E196" s="1"/>
      <c r="F196" s="128"/>
      <c r="G196" s="1"/>
      <c r="H196" s="1"/>
      <c r="I196" s="1"/>
      <c r="J196" s="1"/>
      <c r="K196" s="100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2.75" customHeight="1">
      <c r="A197" s="1"/>
      <c r="B197" s="157"/>
      <c r="C197" s="1"/>
      <c r="D197" s="1"/>
      <c r="E197" s="1"/>
      <c r="F197" s="128"/>
      <c r="G197" s="1"/>
      <c r="H197" s="1"/>
      <c r="I197" s="1"/>
      <c r="J197" s="1"/>
      <c r="K197" s="100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2.75" customHeight="1">
      <c r="A198" s="1"/>
      <c r="B198" s="157"/>
      <c r="C198" s="1"/>
      <c r="D198" s="1"/>
      <c r="E198" s="1"/>
      <c r="F198" s="128"/>
      <c r="G198" s="1"/>
      <c r="H198" s="1"/>
      <c r="I198" s="1"/>
      <c r="J198" s="1"/>
      <c r="K198" s="100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2.75" customHeight="1">
      <c r="A199" s="1"/>
      <c r="B199" s="157"/>
      <c r="C199" s="1"/>
      <c r="D199" s="1"/>
      <c r="E199" s="1"/>
      <c r="F199" s="128"/>
      <c r="G199" s="1"/>
      <c r="H199" s="1"/>
      <c r="I199" s="1"/>
      <c r="J199" s="1"/>
      <c r="K199" s="100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2.75" customHeight="1">
      <c r="A200" s="1"/>
      <c r="B200" s="157"/>
      <c r="C200" s="1"/>
      <c r="D200" s="1"/>
      <c r="E200" s="1"/>
      <c r="F200" s="128"/>
      <c r="G200" s="1"/>
      <c r="H200" s="1"/>
      <c r="I200" s="1"/>
      <c r="J200" s="1"/>
      <c r="K200" s="100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2.75" customHeight="1">
      <c r="A201" s="1"/>
      <c r="B201" s="157"/>
      <c r="C201" s="1"/>
      <c r="D201" s="1"/>
      <c r="E201" s="1"/>
      <c r="F201" s="128"/>
      <c r="G201" s="1"/>
      <c r="H201" s="1"/>
      <c r="I201" s="1"/>
      <c r="J201" s="1"/>
      <c r="K201" s="100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2.75" customHeight="1">
      <c r="A202" s="1"/>
      <c r="B202" s="157"/>
      <c r="C202" s="1"/>
      <c r="D202" s="1"/>
      <c r="E202" s="1"/>
      <c r="F202" s="128"/>
      <c r="G202" s="1"/>
      <c r="H202" s="1"/>
      <c r="I202" s="1"/>
      <c r="J202" s="1"/>
      <c r="K202" s="100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2.75" customHeight="1">
      <c r="A203" s="1"/>
      <c r="B203" s="157"/>
      <c r="C203" s="1"/>
      <c r="D203" s="1"/>
      <c r="E203" s="1"/>
      <c r="F203" s="128"/>
      <c r="G203" s="1"/>
      <c r="H203" s="1"/>
      <c r="I203" s="1"/>
      <c r="J203" s="1"/>
      <c r="K203" s="100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2.75" customHeight="1">
      <c r="A204" s="1"/>
      <c r="B204" s="157"/>
      <c r="C204" s="1"/>
      <c r="D204" s="1"/>
      <c r="E204" s="1"/>
      <c r="F204" s="128"/>
      <c r="G204" s="1"/>
      <c r="H204" s="1"/>
      <c r="I204" s="1"/>
      <c r="J204" s="1"/>
      <c r="K204" s="100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2.75" customHeight="1">
      <c r="A205" s="1"/>
      <c r="B205" s="157"/>
      <c r="C205" s="1"/>
      <c r="D205" s="1"/>
      <c r="E205" s="1"/>
      <c r="F205" s="128"/>
      <c r="G205" s="1"/>
      <c r="H205" s="1"/>
      <c r="I205" s="1"/>
      <c r="J205" s="1"/>
      <c r="K205" s="100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2.75" customHeight="1">
      <c r="A206" s="1"/>
      <c r="B206" s="157"/>
      <c r="C206" s="1"/>
      <c r="D206" s="1"/>
      <c r="E206" s="1"/>
      <c r="F206" s="128"/>
      <c r="G206" s="1"/>
      <c r="H206" s="1"/>
      <c r="I206" s="1"/>
      <c r="J206" s="1"/>
      <c r="K206" s="100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2.75" customHeight="1">
      <c r="A207" s="1"/>
      <c r="B207" s="157"/>
      <c r="C207" s="1"/>
      <c r="D207" s="1"/>
      <c r="E207" s="1"/>
      <c r="F207" s="128"/>
      <c r="G207" s="1"/>
      <c r="H207" s="1"/>
      <c r="I207" s="1"/>
      <c r="J207" s="1"/>
      <c r="K207" s="100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2.75" customHeight="1">
      <c r="A208" s="1"/>
      <c r="B208" s="157"/>
      <c r="C208" s="1"/>
      <c r="D208" s="1"/>
      <c r="E208" s="1"/>
      <c r="F208" s="128"/>
      <c r="G208" s="1"/>
      <c r="H208" s="1"/>
      <c r="I208" s="1"/>
      <c r="J208" s="1"/>
      <c r="K208" s="100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2.75" customHeight="1">
      <c r="A209" s="1"/>
      <c r="B209" s="157"/>
      <c r="C209" s="1"/>
      <c r="D209" s="1"/>
      <c r="E209" s="1"/>
      <c r="F209" s="128"/>
      <c r="G209" s="1"/>
      <c r="H209" s="1"/>
      <c r="I209" s="1"/>
      <c r="J209" s="1"/>
      <c r="K209" s="100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2.75" customHeight="1">
      <c r="A210" s="1"/>
      <c r="B210" s="157"/>
      <c r="C210" s="1"/>
      <c r="D210" s="1"/>
      <c r="E210" s="1"/>
      <c r="F210" s="128"/>
      <c r="G210" s="1"/>
      <c r="H210" s="1"/>
      <c r="I210" s="1"/>
      <c r="J210" s="1"/>
      <c r="K210" s="100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2.75" customHeight="1">
      <c r="A211" s="1"/>
      <c r="B211" s="157"/>
      <c r="C211" s="1"/>
      <c r="D211" s="1"/>
      <c r="E211" s="1"/>
      <c r="F211" s="128"/>
      <c r="G211" s="1"/>
      <c r="H211" s="1"/>
      <c r="I211" s="1"/>
      <c r="J211" s="1"/>
      <c r="K211" s="100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2.75" customHeight="1">
      <c r="A212" s="1"/>
      <c r="B212" s="157"/>
      <c r="C212" s="1"/>
      <c r="D212" s="1"/>
      <c r="E212" s="1"/>
      <c r="F212" s="128"/>
      <c r="G212" s="1"/>
      <c r="H212" s="1"/>
      <c r="I212" s="1"/>
      <c r="J212" s="1"/>
      <c r="K212" s="100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2.75" customHeight="1">
      <c r="A213" s="1"/>
      <c r="B213" s="157"/>
      <c r="C213" s="1"/>
      <c r="D213" s="1"/>
      <c r="E213" s="1"/>
      <c r="F213" s="128"/>
      <c r="G213" s="1"/>
      <c r="H213" s="1"/>
      <c r="I213" s="1"/>
      <c r="J213" s="1"/>
      <c r="K213" s="100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2.75" customHeight="1">
      <c r="A214" s="1"/>
      <c r="B214" s="157"/>
      <c r="C214" s="1"/>
      <c r="D214" s="1"/>
      <c r="E214" s="1"/>
      <c r="F214" s="128"/>
      <c r="G214" s="1"/>
      <c r="H214" s="1"/>
      <c r="I214" s="1"/>
      <c r="J214" s="1"/>
      <c r="K214" s="100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2.75" customHeight="1">
      <c r="A215" s="1"/>
      <c r="B215" s="157"/>
      <c r="C215" s="1"/>
      <c r="D215" s="1"/>
      <c r="E215" s="1"/>
      <c r="F215" s="128"/>
      <c r="G215" s="1"/>
      <c r="H215" s="1"/>
      <c r="I215" s="1"/>
      <c r="J215" s="1"/>
      <c r="K215" s="100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2.75" customHeight="1">
      <c r="A216" s="1"/>
      <c r="B216" s="157"/>
      <c r="C216" s="1"/>
      <c r="D216" s="1"/>
      <c r="E216" s="1"/>
      <c r="F216" s="128"/>
      <c r="G216" s="1"/>
      <c r="H216" s="1"/>
      <c r="I216" s="1"/>
      <c r="J216" s="1"/>
      <c r="K216" s="100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2.75" customHeight="1">
      <c r="A217" s="1"/>
      <c r="B217" s="157"/>
      <c r="C217" s="1"/>
      <c r="D217" s="1"/>
      <c r="E217" s="1"/>
      <c r="F217" s="128"/>
      <c r="G217" s="1"/>
      <c r="H217" s="1"/>
      <c r="I217" s="1"/>
      <c r="J217" s="1"/>
      <c r="K217" s="100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2.75" customHeight="1">
      <c r="A218" s="1"/>
      <c r="B218" s="157"/>
      <c r="C218" s="1"/>
      <c r="D218" s="1"/>
      <c r="E218" s="1"/>
      <c r="F218" s="128"/>
      <c r="G218" s="1"/>
      <c r="H218" s="1"/>
      <c r="I218" s="1"/>
      <c r="J218" s="1"/>
      <c r="K218" s="100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2.75" customHeight="1">
      <c r="A219" s="1"/>
      <c r="B219" s="157"/>
      <c r="C219" s="1"/>
      <c r="D219" s="1"/>
      <c r="E219" s="1"/>
      <c r="F219" s="128"/>
      <c r="G219" s="1"/>
      <c r="H219" s="1"/>
      <c r="I219" s="1"/>
      <c r="J219" s="1"/>
      <c r="K219" s="100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2.75" customHeight="1">
      <c r="A220" s="1"/>
      <c r="B220" s="157"/>
      <c r="C220" s="1"/>
      <c r="D220" s="1"/>
      <c r="E220" s="1"/>
      <c r="F220" s="128"/>
      <c r="G220" s="1"/>
      <c r="H220" s="1"/>
      <c r="I220" s="1"/>
      <c r="J220" s="1"/>
      <c r="K220" s="100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2.75" customHeight="1">
      <c r="A221" s="1"/>
      <c r="B221" s="157"/>
      <c r="C221" s="1"/>
      <c r="D221" s="1"/>
      <c r="E221" s="1"/>
      <c r="F221" s="128"/>
      <c r="G221" s="1"/>
      <c r="H221" s="1"/>
      <c r="I221" s="1"/>
      <c r="J221" s="1"/>
      <c r="K221" s="100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2.75" customHeight="1">
      <c r="A222" s="1"/>
      <c r="B222" s="157"/>
      <c r="C222" s="1"/>
      <c r="D222" s="1"/>
      <c r="E222" s="1"/>
      <c r="F222" s="128"/>
      <c r="G222" s="1"/>
      <c r="H222" s="1"/>
      <c r="I222" s="1"/>
      <c r="J222" s="1"/>
      <c r="K222" s="100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2.75" customHeight="1">
      <c r="A223" s="1"/>
      <c r="B223" s="157"/>
      <c r="C223" s="1"/>
      <c r="D223" s="1"/>
      <c r="E223" s="1"/>
      <c r="F223" s="128"/>
      <c r="G223" s="1"/>
      <c r="H223" s="1"/>
      <c r="I223" s="1"/>
      <c r="J223" s="1"/>
      <c r="K223" s="100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2.75" customHeight="1">
      <c r="A224" s="1"/>
      <c r="B224" s="157"/>
      <c r="C224" s="1"/>
      <c r="D224" s="1"/>
      <c r="E224" s="1"/>
      <c r="F224" s="128"/>
      <c r="G224" s="1"/>
      <c r="H224" s="1"/>
      <c r="I224" s="1"/>
      <c r="J224" s="1"/>
      <c r="K224" s="100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2.75" customHeight="1">
      <c r="A225" s="1"/>
      <c r="B225" s="157"/>
      <c r="C225" s="1"/>
      <c r="D225" s="1"/>
      <c r="E225" s="1"/>
      <c r="F225" s="128"/>
      <c r="G225" s="1"/>
      <c r="H225" s="1"/>
      <c r="I225" s="1"/>
      <c r="J225" s="1"/>
      <c r="K225" s="100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2.75" customHeight="1">
      <c r="A226" s="1"/>
      <c r="B226" s="157"/>
      <c r="C226" s="1"/>
      <c r="D226" s="1"/>
      <c r="E226" s="1"/>
      <c r="F226" s="128"/>
      <c r="G226" s="1"/>
      <c r="H226" s="1"/>
      <c r="I226" s="1"/>
      <c r="J226" s="1"/>
      <c r="K226" s="100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2.75" customHeight="1">
      <c r="A227" s="1"/>
      <c r="B227" s="157"/>
      <c r="C227" s="1"/>
      <c r="D227" s="1"/>
      <c r="E227" s="1"/>
      <c r="F227" s="128"/>
      <c r="G227" s="1"/>
      <c r="H227" s="1"/>
      <c r="I227" s="1"/>
      <c r="J227" s="1"/>
      <c r="K227" s="100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2.75" customHeight="1">
      <c r="A228" s="1"/>
      <c r="B228" s="157"/>
      <c r="C228" s="1"/>
      <c r="D228" s="1"/>
      <c r="E228" s="1"/>
      <c r="F228" s="128"/>
      <c r="G228" s="1"/>
      <c r="H228" s="1"/>
      <c r="I228" s="1"/>
      <c r="J228" s="1"/>
      <c r="K228" s="100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2.75" customHeight="1">
      <c r="A229" s="1"/>
      <c r="B229" s="157"/>
      <c r="C229" s="1"/>
      <c r="D229" s="1"/>
      <c r="E229" s="1"/>
      <c r="F229" s="128"/>
      <c r="G229" s="1"/>
      <c r="H229" s="1"/>
      <c r="I229" s="1"/>
      <c r="J229" s="1"/>
      <c r="K229" s="100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2.75" customHeight="1">
      <c r="A230" s="1"/>
      <c r="B230" s="157"/>
      <c r="C230" s="1"/>
      <c r="D230" s="1"/>
      <c r="E230" s="1"/>
      <c r="F230" s="128"/>
      <c r="G230" s="1"/>
      <c r="H230" s="1"/>
      <c r="I230" s="1"/>
      <c r="J230" s="1"/>
      <c r="K230" s="100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2.75" customHeight="1">
      <c r="A231" s="1"/>
      <c r="B231" s="157"/>
      <c r="C231" s="1"/>
      <c r="D231" s="1"/>
      <c r="E231" s="1"/>
      <c r="F231" s="128"/>
      <c r="G231" s="1"/>
      <c r="H231" s="1"/>
      <c r="I231" s="1"/>
      <c r="J231" s="1"/>
      <c r="K231" s="100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2.75" customHeight="1">
      <c r="A232" s="1"/>
      <c r="B232" s="157"/>
      <c r="C232" s="1"/>
      <c r="D232" s="1"/>
      <c r="E232" s="1"/>
      <c r="F232" s="128"/>
      <c r="G232" s="1"/>
      <c r="H232" s="1"/>
      <c r="I232" s="1"/>
      <c r="J232" s="1"/>
      <c r="K232" s="100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2.75" customHeight="1">
      <c r="A233" s="1"/>
      <c r="B233" s="157"/>
      <c r="C233" s="1"/>
      <c r="D233" s="1"/>
      <c r="E233" s="1"/>
      <c r="F233" s="128"/>
      <c r="G233" s="1"/>
      <c r="H233" s="1"/>
      <c r="I233" s="1"/>
      <c r="J233" s="1"/>
      <c r="K233" s="100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2.75" customHeight="1">
      <c r="A234" s="1"/>
      <c r="B234" s="157"/>
      <c r="C234" s="1"/>
      <c r="D234" s="1"/>
      <c r="E234" s="1"/>
      <c r="F234" s="128"/>
      <c r="G234" s="1"/>
      <c r="H234" s="1"/>
      <c r="I234" s="1"/>
      <c r="J234" s="1"/>
      <c r="K234" s="100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2.75" customHeight="1">
      <c r="A235" s="1"/>
      <c r="B235" s="157"/>
      <c r="C235" s="1"/>
      <c r="D235" s="1"/>
      <c r="E235" s="1"/>
      <c r="F235" s="128"/>
      <c r="G235" s="1"/>
      <c r="H235" s="1"/>
      <c r="I235" s="1"/>
      <c r="J235" s="1"/>
      <c r="K235" s="100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2.75" customHeight="1">
      <c r="A236" s="1"/>
      <c r="B236" s="157"/>
      <c r="C236" s="1"/>
      <c r="D236" s="1"/>
      <c r="E236" s="1"/>
      <c r="F236" s="128"/>
      <c r="G236" s="1"/>
      <c r="H236" s="1"/>
      <c r="I236" s="1"/>
      <c r="J236" s="1"/>
      <c r="K236" s="100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2.75" customHeight="1">
      <c r="A237" s="1"/>
      <c r="B237" s="157"/>
      <c r="C237" s="1"/>
      <c r="D237" s="1"/>
      <c r="E237" s="1"/>
      <c r="F237" s="128"/>
      <c r="G237" s="1"/>
      <c r="H237" s="1"/>
      <c r="I237" s="1"/>
      <c r="J237" s="1"/>
      <c r="K237" s="100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autoFilter ref="$A$8:$J$37"/>
  <mergeCells count="5">
    <mergeCell ref="B2:D2"/>
    <mergeCell ref="B3:D3"/>
    <mergeCell ref="B4:D4"/>
    <mergeCell ref="I5:J5"/>
    <mergeCell ref="I6:J6"/>
  </mergeCells>
  <dataValidations>
    <dataValidation type="list" allowBlank="1" showErrorMessage="1" sqref="F9:F17 F19:F31 F33:F136">
      <formula1>$L$2:$L$5</formula1>
    </dataValidation>
    <dataValidation type="list" allowBlank="1" showErrorMessage="1" sqref="E9:E38">
      <formula1>$M$2:$M$4</formula1>
    </dataValidation>
  </dataValidations>
  <printOptions/>
  <pageMargins bottom="0.9840277777777777" footer="0.0" header="0.0" left="0.7479166666666667" right="0.25" top="0.75"/>
  <pageSetup paperSize="9" orientation="landscape"/>
  <drawing r:id="rId2"/>
  <legacyDrawing r:id="rId3"/>
</worksheet>
</file>